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ORIGINAL PROYECTO 2013 MEZV 7 DE ENERO 2014 BUENO\"/>
    </mc:Choice>
  </mc:AlternateContent>
  <xr:revisionPtr revIDLastSave="0" documentId="13_ncr:1_{8717327C-D54B-4CC5-973E-D8576402DB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81029"/>
</workbook>
</file>

<file path=xl/calcChain.xml><?xml version="1.0" encoding="utf-8"?>
<calcChain xmlns="http://schemas.openxmlformats.org/spreadsheetml/2006/main">
  <c r="AN552" i="1" l="1"/>
  <c r="AN544" i="1"/>
  <c r="AN536" i="1"/>
  <c r="AN528" i="1"/>
  <c r="AN520" i="1"/>
  <c r="AN512" i="1"/>
  <c r="AN504" i="1"/>
  <c r="AN496" i="1"/>
  <c r="AN488" i="1"/>
  <c r="AN480" i="1"/>
  <c r="AN472" i="1" l="1"/>
  <c r="AN464" i="1"/>
  <c r="AN456" i="1" l="1"/>
  <c r="AN448" i="1"/>
  <c r="AN440" i="1"/>
  <c r="AN432" i="1"/>
  <c r="AN424" i="1"/>
  <c r="AN416" i="1"/>
  <c r="AN408" i="1"/>
  <c r="AN400" i="1"/>
  <c r="AN392" i="1"/>
  <c r="AN384" i="1"/>
  <c r="AN376" i="1" l="1"/>
  <c r="AN368" i="1"/>
  <c r="AN360" i="1"/>
  <c r="AN352" i="1"/>
  <c r="AN344" i="1"/>
  <c r="AN336" i="1"/>
  <c r="AN328" i="1"/>
  <c r="AN320" i="1"/>
  <c r="AN312" i="1"/>
  <c r="AN304" i="1"/>
  <c r="AN296" i="1"/>
  <c r="AN288" i="1"/>
  <c r="AN280" i="1"/>
  <c r="AN272" i="1" l="1"/>
  <c r="AN264" i="1"/>
  <c r="AN256" i="1"/>
  <c r="AN248" i="1"/>
  <c r="AN240" i="1"/>
  <c r="AN232" i="1"/>
  <c r="AN224" i="1"/>
  <c r="AN216" i="1"/>
  <c r="AN208" i="1"/>
  <c r="AN200" i="1" l="1"/>
  <c r="AN192" i="1"/>
  <c r="AN184" i="1"/>
  <c r="AN176" i="1"/>
  <c r="AN168" i="1"/>
  <c r="AN160" i="1" l="1"/>
  <c r="AN152" i="1"/>
  <c r="AN144" i="1"/>
  <c r="AN136" i="1"/>
  <c r="AN128" i="1"/>
  <c r="AN120" i="1"/>
  <c r="AN112" i="1"/>
  <c r="AN104" i="1"/>
  <c r="AN96" i="1"/>
  <c r="AN88" i="1"/>
  <c r="AN80" i="1"/>
  <c r="AN72" i="1"/>
  <c r="AN64" i="1"/>
  <c r="AN56" i="1"/>
  <c r="AN48" i="1"/>
  <c r="AN40" i="1"/>
  <c r="AN32" i="1"/>
  <c r="AN24" i="1"/>
  <c r="AN16" i="1"/>
  <c r="AN8" i="1" l="1"/>
  <c r="AA6" i="1" s="1"/>
</calcChain>
</file>

<file path=xl/sharedStrings.xml><?xml version="1.0" encoding="utf-8"?>
<sst xmlns="http://schemas.openxmlformats.org/spreadsheetml/2006/main" count="1323" uniqueCount="31">
  <si>
    <t>NOMBRE</t>
  </si>
  <si>
    <t>DOMICILIO</t>
  </si>
  <si>
    <t>TELEFONO</t>
  </si>
  <si>
    <t>VALE</t>
  </si>
  <si>
    <t>FECHA</t>
  </si>
  <si>
    <t># Q</t>
  </si>
  <si>
    <t>TOTAL</t>
  </si>
  <si>
    <t>ADEUDO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</si>
  <si>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</si>
  <si>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</si>
  <si>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</si>
  <si>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</si>
  <si>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</si>
  <si>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</si>
  <si>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</si>
  <si>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</si>
  <si>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</si>
  <si>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</si>
  <si>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SALDO GLOBAL</t>
  </si>
  <si>
    <t>fecha</t>
  </si>
  <si>
    <t>QUINCENA</t>
  </si>
  <si>
    <t>INICIAL</t>
  </si>
  <si>
    <t>FINAL</t>
  </si>
  <si>
    <t xml:space="preserve">SAN MARTIN NO 5 INFONAVIT </t>
  </si>
  <si>
    <t xml:space="preserve">LEONEL EDUARDO AYALA HAROS </t>
  </si>
  <si>
    <t>433-111-61-07</t>
  </si>
  <si>
    <t>FALTA POR SALDAR VALE 599</t>
  </si>
  <si>
    <t>1/</t>
  </si>
  <si>
    <t>VALE 7922</t>
  </si>
  <si>
    <t>*****</t>
  </si>
  <si>
    <t>VALE 10638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</si>
</sst>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80A]#,##0.0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" fontId="1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" fontId="1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5" fontId="1" fillId="2" borderId="5" xfId="0" applyNumberFormat="1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14" fontId="2" fillId="3" borderId="3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16" fontId="1" fillId="3" borderId="5" xfId="0" applyNumberFormat="1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6" fontId="1" fillId="3" borderId="6" xfId="0" applyNumberFormat="1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164" fontId="1" fillId="3" borderId="6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5" fontId="1" fillId="2" borderId="8" xfId="0" applyNumberFormat="1" applyFont="1" applyFill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165" fontId="1" fillId="3" borderId="5" xfId="0" applyNumberFormat="1" applyFont="1" applyFill="1" applyBorder="1" applyAlignment="1">
      <alignment horizontal="center"/>
    </xf>
    <xf numFmtId="165" fontId="1" fillId="3" borderId="6" xfId="0" applyNumberFormat="1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56"/>
  <sheetViews>
    <sheetView tabSelected="1" topLeftCell="A526" workbookViewId="0">
      <selection activeCell="AT543" activeCellId="7" sqref="B543 C543:E543 C544:E544 AI543:AL543 AI544:AL544 AN543:AQ543 AN544:AQ544 AT543:AY545"/>
    </sheetView>
  </sheetViews>
  <sheetFormatPr baseColWidth="10" defaultRowHeight="15" x14ac:dyDescent="0.25"/>
  <cols>
    <col min="1" max="4" width="2.7109375" customWidth="1"/>
    <col min="5" max="5" width="5.5703125" customWidth="1"/>
    <col min="6" max="78" width="2.7109375" customWidth="1"/>
  </cols>
  <sheetData>
    <row r="1" spans="1:51" ht="15.75" thickBot="1" x14ac:dyDescent="0.3"/>
    <row r="2" spans="1:51" ht="15.75" thickBot="1" x14ac:dyDescent="0.3">
      <c r="B2" s="60" t="s">
        <v>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2"/>
      <c r="R2" s="60" t="s">
        <v>1</v>
      </c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2"/>
      <c r="AI2" s="60" t="s">
        <v>2</v>
      </c>
      <c r="AJ2" s="61"/>
      <c r="AK2" s="61"/>
      <c r="AL2" s="61"/>
      <c r="AM2" s="61"/>
      <c r="AN2" s="61"/>
      <c r="AO2" s="61"/>
      <c r="AP2" s="61"/>
      <c r="AQ2" s="62"/>
    </row>
    <row r="3" spans="1:51" ht="15.75" thickBot="1" x14ac:dyDescent="0.3"/>
    <row r="4" spans="1:51" ht="15.75" thickBot="1" x14ac:dyDescent="0.3">
      <c r="B4" s="63" t="s">
        <v>24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5"/>
      <c r="R4" s="63" t="s">
        <v>23</v>
      </c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5"/>
      <c r="AI4" s="63" t="s">
        <v>25</v>
      </c>
      <c r="AJ4" s="64"/>
      <c r="AK4" s="64"/>
      <c r="AL4" s="64"/>
      <c r="AM4" s="64"/>
      <c r="AN4" s="64"/>
      <c r="AO4" s="64"/>
      <c r="AP4" s="64"/>
      <c r="AQ4" s="65"/>
    </row>
    <row r="5" spans="1:51" ht="15.75" thickBot="1" x14ac:dyDescent="0.3"/>
    <row r="6" spans="1:51" ht="15.75" thickBot="1" x14ac:dyDescent="0.3">
      <c r="Q6" s="66" t="s">
        <v>18</v>
      </c>
      <c r="R6" s="67"/>
      <c r="S6" s="67"/>
      <c r="T6" s="67"/>
      <c r="U6" s="67"/>
      <c r="V6" s="67"/>
      <c r="W6" s="67"/>
      <c r="X6" s="67"/>
      <c r="Y6" s="68"/>
      <c r="AA6" s="69">
        <f>AN8+AN16+AN24+AN32+AN40+AN48+AN56+AN64+AN72+AN80+AN88+AN96+AN104+AN112+AN120+AN128+AN136+AN144+AN152+AN160+AN168+AN176+AN184+AN192+AN200+AN208+AN216+AN224+AN232+AN240+AN248+AN256+AN264+AN272+AN280+AN288+AN296+AN304+AN312+AN320+AN328+AN336+AN344+AN352+AN360+AN368+AN376+AN384+AN392+AN400+AN408+AN416+AN424+AN432+AN440+AN448+AN456</f>
        <v>0</v>
      </c>
      <c r="AB6" s="67"/>
      <c r="AC6" s="67"/>
      <c r="AD6" s="67"/>
      <c r="AE6" s="68"/>
    </row>
    <row r="7" spans="1:51" ht="15.75" thickBot="1" x14ac:dyDescent="0.3">
      <c r="B7" s="1">
        <v>1</v>
      </c>
      <c r="C7" s="15" t="s">
        <v>3</v>
      </c>
      <c r="D7" s="15"/>
      <c r="E7" s="15"/>
      <c r="F7" s="15" t="s">
        <v>4</v>
      </c>
      <c r="G7" s="15"/>
      <c r="H7" s="15"/>
      <c r="I7" s="15"/>
      <c r="J7" s="15"/>
      <c r="K7" s="15"/>
      <c r="L7" s="15" t="s">
        <v>5</v>
      </c>
      <c r="M7" s="15"/>
      <c r="AI7" s="16" t="s">
        <v>6</v>
      </c>
      <c r="AJ7" s="17"/>
      <c r="AK7" s="17"/>
      <c r="AL7" s="17"/>
      <c r="AN7" s="16" t="s">
        <v>7</v>
      </c>
      <c r="AO7" s="17"/>
      <c r="AP7" s="17"/>
      <c r="AQ7" s="17"/>
      <c r="AT7" s="18" t="s">
        <v>20</v>
      </c>
      <c r="AU7" s="19"/>
      <c r="AV7" s="19"/>
      <c r="AW7" s="19"/>
      <c r="AX7" s="19"/>
      <c r="AY7" s="20"/>
    </row>
    <row r="8" spans="1:51" ht="15.75" thickBot="1" x14ac:dyDescent="0.3">
      <c r="C8" s="38">
        <v>12417</v>
      </c>
      <c r="D8" s="39"/>
      <c r="E8" s="43"/>
      <c r="F8" s="23">
        <v>41634</v>
      </c>
      <c r="G8" s="24"/>
      <c r="H8" s="24"/>
      <c r="I8" s="24"/>
      <c r="J8" s="24"/>
      <c r="K8" s="25"/>
      <c r="L8" s="26">
        <v>4</v>
      </c>
      <c r="M8" s="26"/>
      <c r="AI8" s="27">
        <v>360</v>
      </c>
      <c r="AJ8" s="28"/>
      <c r="AK8" s="28"/>
      <c r="AL8" s="28"/>
      <c r="AN8" s="29">
        <f>AI8-D12-H12-L12-P12-T12-X12-AB12-AF12-AJ12-AN12</f>
        <v>0</v>
      </c>
      <c r="AO8" s="30"/>
      <c r="AP8" s="30"/>
      <c r="AQ8" s="30"/>
      <c r="AT8" s="31" t="s">
        <v>21</v>
      </c>
      <c r="AU8" s="32"/>
      <c r="AV8" s="32"/>
      <c r="AW8" s="32" t="s">
        <v>22</v>
      </c>
      <c r="AX8" s="32"/>
      <c r="AY8" s="33"/>
    </row>
    <row r="9" spans="1:51" ht="15.75" thickBot="1" x14ac:dyDescent="0.3">
      <c r="AT9" s="34">
        <v>1</v>
      </c>
      <c r="AU9" s="35"/>
      <c r="AV9" s="35"/>
      <c r="AW9" s="35">
        <v>4</v>
      </c>
      <c r="AX9" s="35"/>
      <c r="AY9" s="36"/>
    </row>
    <row r="10" spans="1:51" ht="15.75" thickBot="1" x14ac:dyDescent="0.3">
      <c r="D10" s="37" t="s">
        <v>8</v>
      </c>
      <c r="E10" s="8"/>
      <c r="F10" s="8"/>
      <c r="G10" s="8"/>
      <c r="H10" s="8" t="s">
        <v>9</v>
      </c>
      <c r="I10" s="8"/>
      <c r="J10" s="8"/>
      <c r="K10" s="8"/>
      <c r="L10" s="8" t="s">
        <v>10</v>
      </c>
      <c r="M10" s="8"/>
      <c r="N10" s="8"/>
      <c r="O10" s="8"/>
      <c r="P10" s="8" t="s">
        <v>11</v>
      </c>
      <c r="Q10" s="8"/>
      <c r="R10" s="8"/>
      <c r="S10" s="8"/>
      <c r="T10" s="8" t="s">
        <v>12</v>
      </c>
      <c r="U10" s="8"/>
      <c r="V10" s="8"/>
      <c r="W10" s="8"/>
      <c r="X10" s="8" t="s">
        <v>13</v>
      </c>
      <c r="Y10" s="8"/>
      <c r="Z10" s="8"/>
      <c r="AA10" s="8"/>
      <c r="AB10" s="8" t="s">
        <v>14</v>
      </c>
      <c r="AC10" s="8"/>
      <c r="AD10" s="8"/>
      <c r="AE10" s="8"/>
      <c r="AF10" s="8" t="s">
        <v>15</v>
      </c>
      <c r="AG10" s="8"/>
      <c r="AH10" s="8"/>
      <c r="AI10" s="8"/>
      <c r="AJ10" s="8" t="s">
        <v>16</v>
      </c>
      <c r="AK10" s="8"/>
      <c r="AL10" s="8"/>
      <c r="AM10" s="8"/>
      <c r="AN10" s="8" t="s">
        <v>17</v>
      </c>
      <c r="AO10" s="8"/>
      <c r="AP10" s="8"/>
      <c r="AQ10" s="10"/>
    </row>
    <row r="11" spans="1:51" ht="15.75" thickBot="1" x14ac:dyDescent="0.3">
      <c r="A11" s="4" t="s">
        <v>19</v>
      </c>
      <c r="B11" s="5"/>
      <c r="C11" s="6"/>
      <c r="D11" s="7">
        <v>41654</v>
      </c>
      <c r="E11" s="8"/>
      <c r="F11" s="8"/>
      <c r="G11" s="8"/>
      <c r="H11" s="9">
        <v>41674</v>
      </c>
      <c r="I11" s="8"/>
      <c r="J11" s="8"/>
      <c r="K11" s="8"/>
      <c r="L11" s="9">
        <v>41685</v>
      </c>
      <c r="M11" s="8"/>
      <c r="N11" s="8"/>
      <c r="O11" s="8"/>
      <c r="P11" s="9">
        <v>41699</v>
      </c>
      <c r="Q11" s="8"/>
      <c r="R11" s="8"/>
      <c r="S11" s="8"/>
      <c r="T11" s="9"/>
      <c r="U11" s="8"/>
      <c r="V11" s="8"/>
      <c r="W11" s="8"/>
      <c r="X11" s="9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10"/>
    </row>
    <row r="12" spans="1:51" ht="15.75" thickBot="1" x14ac:dyDescent="0.3">
      <c r="D12" s="11">
        <v>90</v>
      </c>
      <c r="E12" s="12"/>
      <c r="F12" s="12"/>
      <c r="G12" s="12"/>
      <c r="H12" s="12">
        <v>90</v>
      </c>
      <c r="I12" s="12"/>
      <c r="J12" s="12"/>
      <c r="K12" s="12"/>
      <c r="L12" s="12">
        <v>90</v>
      </c>
      <c r="M12" s="12"/>
      <c r="N12" s="12"/>
      <c r="O12" s="12"/>
      <c r="P12" s="12">
        <v>90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3"/>
    </row>
    <row r="14" spans="1:51" ht="15.75" thickBot="1" x14ac:dyDescent="0.3"/>
    <row r="15" spans="1:51" ht="15.75" thickBot="1" x14ac:dyDescent="0.3">
      <c r="B15" s="1">
        <v>2</v>
      </c>
      <c r="C15" s="15" t="s">
        <v>3</v>
      </c>
      <c r="D15" s="15"/>
      <c r="E15" s="15"/>
      <c r="F15" s="15" t="s">
        <v>4</v>
      </c>
      <c r="G15" s="15"/>
      <c r="H15" s="15"/>
      <c r="I15" s="15"/>
      <c r="J15" s="15"/>
      <c r="K15" s="15"/>
      <c r="L15" s="15" t="s">
        <v>5</v>
      </c>
      <c r="M15" s="15"/>
      <c r="AI15" s="16" t="s">
        <v>6</v>
      </c>
      <c r="AJ15" s="17"/>
      <c r="AK15" s="17"/>
      <c r="AL15" s="17"/>
      <c r="AN15" s="16" t="s">
        <v>7</v>
      </c>
      <c r="AO15" s="17"/>
      <c r="AP15" s="17"/>
      <c r="AQ15" s="17"/>
      <c r="AT15" s="18" t="s">
        <v>20</v>
      </c>
      <c r="AU15" s="19"/>
      <c r="AV15" s="19"/>
      <c r="AW15" s="19"/>
      <c r="AX15" s="19"/>
      <c r="AY15" s="20"/>
    </row>
    <row r="16" spans="1:51" ht="15.75" thickBot="1" x14ac:dyDescent="0.3">
      <c r="C16" s="38">
        <v>13058</v>
      </c>
      <c r="D16" s="39"/>
      <c r="E16" s="43"/>
      <c r="F16" s="23">
        <v>41691</v>
      </c>
      <c r="G16" s="24"/>
      <c r="H16" s="24"/>
      <c r="I16" s="24"/>
      <c r="J16" s="24"/>
      <c r="K16" s="25"/>
      <c r="L16" s="26">
        <v>4</v>
      </c>
      <c r="M16" s="26"/>
      <c r="AI16" s="27">
        <v>685</v>
      </c>
      <c r="AJ16" s="28"/>
      <c r="AK16" s="28"/>
      <c r="AL16" s="28"/>
      <c r="AN16" s="29">
        <f>AI16-D20-H20-L20-P20-T20-X20-AB20-AF20-AJ20-AN20</f>
        <v>0</v>
      </c>
      <c r="AO16" s="30"/>
      <c r="AP16" s="30"/>
      <c r="AQ16" s="30"/>
      <c r="AT16" s="31" t="s">
        <v>21</v>
      </c>
      <c r="AU16" s="32"/>
      <c r="AV16" s="32"/>
      <c r="AW16" s="32" t="s">
        <v>22</v>
      </c>
      <c r="AX16" s="32"/>
      <c r="AY16" s="33"/>
    </row>
    <row r="17" spans="1:51" ht="15.75" thickBot="1" x14ac:dyDescent="0.3">
      <c r="AT17" s="34">
        <v>5</v>
      </c>
      <c r="AU17" s="35"/>
      <c r="AV17" s="35"/>
      <c r="AW17" s="35">
        <v>8</v>
      </c>
      <c r="AX17" s="35"/>
      <c r="AY17" s="36"/>
    </row>
    <row r="18" spans="1:51" ht="15.75" thickBot="1" x14ac:dyDescent="0.3">
      <c r="D18" s="37" t="s">
        <v>8</v>
      </c>
      <c r="E18" s="8"/>
      <c r="F18" s="8"/>
      <c r="G18" s="8"/>
      <c r="H18" s="8" t="s">
        <v>9</v>
      </c>
      <c r="I18" s="8"/>
      <c r="J18" s="8"/>
      <c r="K18" s="8"/>
      <c r="L18" s="8" t="s">
        <v>10</v>
      </c>
      <c r="M18" s="8"/>
      <c r="N18" s="8"/>
      <c r="O18" s="8"/>
      <c r="P18" s="8" t="s">
        <v>11</v>
      </c>
      <c r="Q18" s="8"/>
      <c r="R18" s="8"/>
      <c r="S18" s="8"/>
      <c r="T18" s="8" t="s">
        <v>12</v>
      </c>
      <c r="U18" s="8"/>
      <c r="V18" s="8"/>
      <c r="W18" s="8"/>
      <c r="X18" s="8" t="s">
        <v>13</v>
      </c>
      <c r="Y18" s="8"/>
      <c r="Z18" s="8"/>
      <c r="AA18" s="8"/>
      <c r="AB18" s="8" t="s">
        <v>14</v>
      </c>
      <c r="AC18" s="8"/>
      <c r="AD18" s="8"/>
      <c r="AE18" s="8"/>
      <c r="AF18" s="8" t="s">
        <v>15</v>
      </c>
      <c r="AG18" s="8"/>
      <c r="AH18" s="8"/>
      <c r="AI18" s="8"/>
      <c r="AJ18" s="8" t="s">
        <v>16</v>
      </c>
      <c r="AK18" s="8"/>
      <c r="AL18" s="8"/>
      <c r="AM18" s="8"/>
      <c r="AN18" s="8" t="s">
        <v>17</v>
      </c>
      <c r="AO18" s="8"/>
      <c r="AP18" s="8"/>
      <c r="AQ18" s="10"/>
    </row>
    <row r="19" spans="1:51" ht="15.75" thickBot="1" x14ac:dyDescent="0.3">
      <c r="A19" s="4" t="s">
        <v>19</v>
      </c>
      <c r="B19" s="5"/>
      <c r="C19" s="6"/>
      <c r="D19" s="7">
        <v>41713</v>
      </c>
      <c r="E19" s="8"/>
      <c r="F19" s="8"/>
      <c r="G19" s="8"/>
      <c r="H19" s="9">
        <v>41729</v>
      </c>
      <c r="I19" s="8"/>
      <c r="J19" s="8"/>
      <c r="K19" s="8"/>
      <c r="L19" s="9">
        <v>41745</v>
      </c>
      <c r="M19" s="8"/>
      <c r="N19" s="8"/>
      <c r="O19" s="8"/>
      <c r="P19" s="9">
        <v>29</v>
      </c>
      <c r="Q19" s="8"/>
      <c r="R19" s="8"/>
      <c r="S19" s="8"/>
      <c r="T19" s="9"/>
      <c r="U19" s="8"/>
      <c r="V19" s="8"/>
      <c r="W19" s="8"/>
      <c r="X19" s="9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10"/>
    </row>
    <row r="20" spans="1:51" ht="15.75" thickBot="1" x14ac:dyDescent="0.3">
      <c r="D20" s="11">
        <v>172</v>
      </c>
      <c r="E20" s="12"/>
      <c r="F20" s="12"/>
      <c r="G20" s="12"/>
      <c r="H20" s="12">
        <v>172</v>
      </c>
      <c r="I20" s="12"/>
      <c r="J20" s="12"/>
      <c r="K20" s="12"/>
      <c r="L20" s="12">
        <v>172</v>
      </c>
      <c r="M20" s="12"/>
      <c r="N20" s="12"/>
      <c r="O20" s="12"/>
      <c r="P20" s="12">
        <v>169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3"/>
    </row>
    <row r="22" spans="1:51" ht="15.75" thickBot="1" x14ac:dyDescent="0.3"/>
    <row r="23" spans="1:51" ht="15.75" thickBot="1" x14ac:dyDescent="0.3">
      <c r="B23" s="1">
        <v>3</v>
      </c>
      <c r="C23" s="14" t="s">
        <v>3</v>
      </c>
      <c r="D23" s="14"/>
      <c r="E23" s="14"/>
      <c r="F23" s="15" t="s">
        <v>4</v>
      </c>
      <c r="G23" s="15"/>
      <c r="H23" s="15"/>
      <c r="I23" s="15"/>
      <c r="J23" s="15"/>
      <c r="K23" s="15"/>
      <c r="L23" s="15" t="s">
        <v>5</v>
      </c>
      <c r="M23" s="15"/>
      <c r="AI23" s="16" t="s">
        <v>6</v>
      </c>
      <c r="AJ23" s="17"/>
      <c r="AK23" s="17"/>
      <c r="AL23" s="17"/>
      <c r="AN23" s="16" t="s">
        <v>7</v>
      </c>
      <c r="AO23" s="17"/>
      <c r="AP23" s="17"/>
      <c r="AQ23" s="17"/>
      <c r="AT23" s="18" t="s">
        <v>20</v>
      </c>
      <c r="AU23" s="19"/>
      <c r="AV23" s="19"/>
      <c r="AW23" s="19"/>
      <c r="AX23" s="19"/>
      <c r="AY23" s="20"/>
    </row>
    <row r="24" spans="1:51" ht="15.75" thickBot="1" x14ac:dyDescent="0.3">
      <c r="C24" s="38">
        <v>13490</v>
      </c>
      <c r="D24" s="39"/>
      <c r="E24" s="43"/>
      <c r="F24" s="23">
        <v>41729</v>
      </c>
      <c r="G24" s="24"/>
      <c r="H24" s="24"/>
      <c r="I24" s="24"/>
      <c r="J24" s="24"/>
      <c r="K24" s="25"/>
      <c r="L24" s="26">
        <v>4</v>
      </c>
      <c r="M24" s="26"/>
      <c r="AI24" s="27">
        <v>330</v>
      </c>
      <c r="AJ24" s="28"/>
      <c r="AK24" s="28"/>
      <c r="AL24" s="28"/>
      <c r="AN24" s="29">
        <f>AI24-D28-H28-L28-P28-T28-X28-AB28-AF28-AJ28-AN28</f>
        <v>0</v>
      </c>
      <c r="AO24" s="30"/>
      <c r="AP24" s="30"/>
      <c r="AQ24" s="30"/>
      <c r="AT24" s="31" t="s">
        <v>21</v>
      </c>
      <c r="AU24" s="32"/>
      <c r="AV24" s="32"/>
      <c r="AW24" s="32" t="s">
        <v>22</v>
      </c>
      <c r="AX24" s="32"/>
      <c r="AY24" s="33"/>
    </row>
    <row r="25" spans="1:51" ht="15.75" thickBot="1" x14ac:dyDescent="0.3">
      <c r="AT25" s="34">
        <v>7</v>
      </c>
      <c r="AU25" s="35"/>
      <c r="AV25" s="35"/>
      <c r="AW25" s="35">
        <v>10</v>
      </c>
      <c r="AX25" s="35"/>
      <c r="AY25" s="36"/>
    </row>
    <row r="26" spans="1:51" ht="15.75" thickBot="1" x14ac:dyDescent="0.3">
      <c r="D26" s="37" t="s">
        <v>8</v>
      </c>
      <c r="E26" s="8"/>
      <c r="F26" s="8"/>
      <c r="G26" s="8"/>
      <c r="H26" s="8" t="s">
        <v>9</v>
      </c>
      <c r="I26" s="8"/>
      <c r="J26" s="8"/>
      <c r="K26" s="8"/>
      <c r="L26" s="8" t="s">
        <v>10</v>
      </c>
      <c r="M26" s="8"/>
      <c r="N26" s="8"/>
      <c r="O26" s="8"/>
      <c r="P26" s="8" t="s">
        <v>11</v>
      </c>
      <c r="Q26" s="8"/>
      <c r="R26" s="8"/>
      <c r="S26" s="8"/>
      <c r="T26" s="8" t="s">
        <v>12</v>
      </c>
      <c r="U26" s="8"/>
      <c r="V26" s="8"/>
      <c r="W26" s="8"/>
      <c r="X26" s="8" t="s">
        <v>13</v>
      </c>
      <c r="Y26" s="8"/>
      <c r="Z26" s="8"/>
      <c r="AA26" s="8"/>
      <c r="AB26" s="8" t="s">
        <v>14</v>
      </c>
      <c r="AC26" s="8"/>
      <c r="AD26" s="8"/>
      <c r="AE26" s="8"/>
      <c r="AF26" s="8" t="s">
        <v>15</v>
      </c>
      <c r="AG26" s="8"/>
      <c r="AH26" s="8"/>
      <c r="AI26" s="8"/>
      <c r="AJ26" s="8" t="s">
        <v>16</v>
      </c>
      <c r="AK26" s="8"/>
      <c r="AL26" s="8"/>
      <c r="AM26" s="8"/>
      <c r="AN26" s="8" t="s">
        <v>17</v>
      </c>
      <c r="AO26" s="8"/>
      <c r="AP26" s="8"/>
      <c r="AQ26" s="10"/>
    </row>
    <row r="27" spans="1:51" ht="15.75" thickBot="1" x14ac:dyDescent="0.3">
      <c r="A27" s="4" t="s">
        <v>19</v>
      </c>
      <c r="B27" s="5"/>
      <c r="C27" s="6"/>
      <c r="D27" s="7">
        <v>41745</v>
      </c>
      <c r="E27" s="8"/>
      <c r="F27" s="8"/>
      <c r="G27" s="8"/>
      <c r="H27" s="9">
        <v>29</v>
      </c>
      <c r="I27" s="8"/>
      <c r="J27" s="8"/>
      <c r="K27" s="8"/>
      <c r="L27" s="9">
        <v>41773</v>
      </c>
      <c r="M27" s="8"/>
      <c r="N27" s="8"/>
      <c r="O27" s="8"/>
      <c r="P27" s="9">
        <v>41789</v>
      </c>
      <c r="Q27" s="8"/>
      <c r="R27" s="8"/>
      <c r="S27" s="8"/>
      <c r="T27" s="9"/>
      <c r="U27" s="8"/>
      <c r="V27" s="8"/>
      <c r="W27" s="8"/>
      <c r="X27" s="9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10"/>
    </row>
    <row r="28" spans="1:51" ht="15.75" thickBot="1" x14ac:dyDescent="0.3">
      <c r="D28" s="11">
        <v>83</v>
      </c>
      <c r="E28" s="12"/>
      <c r="F28" s="12"/>
      <c r="G28" s="12"/>
      <c r="H28" s="12">
        <v>83</v>
      </c>
      <c r="I28" s="12"/>
      <c r="J28" s="12"/>
      <c r="K28" s="12"/>
      <c r="L28" s="12">
        <v>83</v>
      </c>
      <c r="M28" s="12"/>
      <c r="N28" s="12"/>
      <c r="O28" s="12"/>
      <c r="P28" s="12">
        <v>81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3"/>
    </row>
    <row r="30" spans="1:51" ht="15.75" thickBot="1" x14ac:dyDescent="0.3"/>
    <row r="31" spans="1:51" ht="15.75" thickBot="1" x14ac:dyDescent="0.3">
      <c r="B31" s="1">
        <v>4</v>
      </c>
      <c r="C31" s="14" t="s">
        <v>3</v>
      </c>
      <c r="D31" s="14"/>
      <c r="E31" s="14"/>
      <c r="F31" s="15" t="s">
        <v>4</v>
      </c>
      <c r="G31" s="15"/>
      <c r="H31" s="15"/>
      <c r="I31" s="15"/>
      <c r="J31" s="15"/>
      <c r="K31" s="15"/>
      <c r="L31" s="15" t="s">
        <v>5</v>
      </c>
      <c r="M31" s="15"/>
      <c r="AI31" s="16" t="s">
        <v>6</v>
      </c>
      <c r="AJ31" s="17"/>
      <c r="AK31" s="17"/>
      <c r="AL31" s="17"/>
      <c r="AN31" s="16" t="s">
        <v>7</v>
      </c>
      <c r="AO31" s="17"/>
      <c r="AP31" s="17"/>
      <c r="AQ31" s="17"/>
      <c r="AT31" s="18" t="s">
        <v>20</v>
      </c>
      <c r="AU31" s="19"/>
      <c r="AV31" s="19"/>
      <c r="AW31" s="19"/>
      <c r="AX31" s="19"/>
      <c r="AY31" s="20"/>
    </row>
    <row r="32" spans="1:51" ht="15.75" thickBot="1" x14ac:dyDescent="0.3">
      <c r="C32" s="38">
        <v>14848</v>
      </c>
      <c r="D32" s="39"/>
      <c r="E32" s="43"/>
      <c r="F32" s="23">
        <v>41818</v>
      </c>
      <c r="G32" s="24"/>
      <c r="H32" s="24"/>
      <c r="I32" s="24"/>
      <c r="J32" s="24"/>
      <c r="K32" s="25"/>
      <c r="L32" s="26">
        <v>4</v>
      </c>
      <c r="M32" s="26"/>
      <c r="AI32" s="27">
        <v>450</v>
      </c>
      <c r="AJ32" s="28"/>
      <c r="AK32" s="28"/>
      <c r="AL32" s="28"/>
      <c r="AN32" s="29">
        <f>AI32-D36-H36-L36-P36-T36-X36-AB36-AF36-AJ36-AN36</f>
        <v>0</v>
      </c>
      <c r="AO32" s="30"/>
      <c r="AP32" s="30"/>
      <c r="AQ32" s="30"/>
      <c r="AT32" s="31" t="s">
        <v>21</v>
      </c>
      <c r="AU32" s="32"/>
      <c r="AV32" s="32"/>
      <c r="AW32" s="32" t="s">
        <v>22</v>
      </c>
      <c r="AX32" s="32"/>
      <c r="AY32" s="33"/>
    </row>
    <row r="33" spans="1:51" ht="15.75" thickBot="1" x14ac:dyDescent="0.3">
      <c r="AT33" s="34">
        <v>13</v>
      </c>
      <c r="AU33" s="35"/>
      <c r="AV33" s="35"/>
      <c r="AW33" s="35">
        <v>16</v>
      </c>
      <c r="AX33" s="35"/>
      <c r="AY33" s="36"/>
    </row>
    <row r="34" spans="1:51" ht="15.75" thickBot="1" x14ac:dyDescent="0.3">
      <c r="D34" s="37" t="s">
        <v>8</v>
      </c>
      <c r="E34" s="8"/>
      <c r="F34" s="8"/>
      <c r="G34" s="8"/>
      <c r="H34" s="8" t="s">
        <v>9</v>
      </c>
      <c r="I34" s="8"/>
      <c r="J34" s="8"/>
      <c r="K34" s="8"/>
      <c r="L34" s="8" t="s">
        <v>10</v>
      </c>
      <c r="M34" s="8"/>
      <c r="N34" s="8"/>
      <c r="O34" s="8"/>
      <c r="P34" s="8" t="s">
        <v>11</v>
      </c>
      <c r="Q34" s="8"/>
      <c r="R34" s="8"/>
      <c r="S34" s="8"/>
      <c r="T34" s="8" t="s">
        <v>12</v>
      </c>
      <c r="U34" s="8"/>
      <c r="V34" s="8"/>
      <c r="W34" s="8"/>
      <c r="X34" s="8" t="s">
        <v>13</v>
      </c>
      <c r="Y34" s="8"/>
      <c r="Z34" s="8"/>
      <c r="AA34" s="8"/>
      <c r="AB34" s="8" t="s">
        <v>14</v>
      </c>
      <c r="AC34" s="8"/>
      <c r="AD34" s="8"/>
      <c r="AE34" s="8"/>
      <c r="AF34" s="8" t="s">
        <v>15</v>
      </c>
      <c r="AG34" s="8"/>
      <c r="AH34" s="8"/>
      <c r="AI34" s="8"/>
      <c r="AJ34" s="8" t="s">
        <v>16</v>
      </c>
      <c r="AK34" s="8"/>
      <c r="AL34" s="8"/>
      <c r="AM34" s="8"/>
      <c r="AN34" s="8" t="s">
        <v>17</v>
      </c>
      <c r="AO34" s="8"/>
      <c r="AP34" s="8"/>
      <c r="AQ34" s="10"/>
    </row>
    <row r="35" spans="1:51" ht="15.75" thickBot="1" x14ac:dyDescent="0.3">
      <c r="A35" s="4" t="s">
        <v>19</v>
      </c>
      <c r="B35" s="5"/>
      <c r="C35" s="6"/>
      <c r="D35" s="70">
        <v>41835</v>
      </c>
      <c r="E35" s="71"/>
      <c r="F35" s="71"/>
      <c r="G35" s="71"/>
      <c r="H35" s="71">
        <v>41850</v>
      </c>
      <c r="I35" s="71"/>
      <c r="J35" s="71"/>
      <c r="K35" s="71"/>
      <c r="L35" s="71">
        <v>41866</v>
      </c>
      <c r="M35" s="71"/>
      <c r="N35" s="71"/>
      <c r="O35" s="71"/>
      <c r="P35" s="71">
        <v>41882</v>
      </c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2"/>
    </row>
    <row r="36" spans="1:51" ht="15.75" thickBot="1" x14ac:dyDescent="0.3">
      <c r="D36" s="11">
        <v>113</v>
      </c>
      <c r="E36" s="12"/>
      <c r="F36" s="12"/>
      <c r="G36" s="12"/>
      <c r="H36" s="12">
        <v>113</v>
      </c>
      <c r="I36" s="12"/>
      <c r="J36" s="12"/>
      <c r="K36" s="12"/>
      <c r="L36" s="12">
        <v>113</v>
      </c>
      <c r="M36" s="12"/>
      <c r="N36" s="12"/>
      <c r="O36" s="12"/>
      <c r="P36" s="12">
        <v>111</v>
      </c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3"/>
    </row>
    <row r="38" spans="1:51" ht="15.75" thickBot="1" x14ac:dyDescent="0.3"/>
    <row r="39" spans="1:51" ht="15.75" thickBot="1" x14ac:dyDescent="0.3">
      <c r="B39" s="1">
        <v>5</v>
      </c>
      <c r="C39" s="14" t="s">
        <v>3</v>
      </c>
      <c r="D39" s="14"/>
      <c r="E39" s="14"/>
      <c r="F39" s="15" t="s">
        <v>4</v>
      </c>
      <c r="G39" s="15"/>
      <c r="H39" s="15"/>
      <c r="I39" s="15"/>
      <c r="J39" s="15"/>
      <c r="K39" s="15"/>
      <c r="L39" s="15" t="s">
        <v>5</v>
      </c>
      <c r="M39" s="15"/>
      <c r="AI39" s="16" t="s">
        <v>6</v>
      </c>
      <c r="AJ39" s="17"/>
      <c r="AK39" s="17"/>
      <c r="AL39" s="17"/>
      <c r="AN39" s="16" t="s">
        <v>7</v>
      </c>
      <c r="AO39" s="17"/>
      <c r="AP39" s="17"/>
      <c r="AQ39" s="17"/>
      <c r="AT39" s="18" t="s">
        <v>20</v>
      </c>
      <c r="AU39" s="19"/>
      <c r="AV39" s="19"/>
      <c r="AW39" s="19"/>
      <c r="AX39" s="19"/>
      <c r="AY39" s="20"/>
    </row>
    <row r="40" spans="1:51" ht="15.75" thickBot="1" x14ac:dyDescent="0.3">
      <c r="C40" s="38">
        <v>16692</v>
      </c>
      <c r="D40" s="39"/>
      <c r="E40" s="43"/>
      <c r="F40" s="23">
        <v>41924</v>
      </c>
      <c r="G40" s="24"/>
      <c r="H40" s="24"/>
      <c r="I40" s="24"/>
      <c r="J40" s="24"/>
      <c r="K40" s="25"/>
      <c r="L40" s="26">
        <v>4</v>
      </c>
      <c r="M40" s="26"/>
      <c r="AI40" s="27">
        <v>580</v>
      </c>
      <c r="AJ40" s="28"/>
      <c r="AK40" s="28"/>
      <c r="AL40" s="28"/>
      <c r="AN40" s="29">
        <f>AI40-D44-H44-L44-P44-T44-X44-AB44-AF44-AJ44-AN44</f>
        <v>0</v>
      </c>
      <c r="AO40" s="30"/>
      <c r="AP40" s="30"/>
      <c r="AQ40" s="30"/>
      <c r="AT40" s="31" t="s">
        <v>21</v>
      </c>
      <c r="AU40" s="32"/>
      <c r="AV40" s="32"/>
      <c r="AW40" s="32" t="s">
        <v>22</v>
      </c>
      <c r="AX40" s="32"/>
      <c r="AY40" s="33"/>
    </row>
    <row r="41" spans="1:51" ht="15.75" thickBot="1" x14ac:dyDescent="0.3">
      <c r="AT41" s="34">
        <v>20</v>
      </c>
      <c r="AU41" s="35"/>
      <c r="AV41" s="35"/>
      <c r="AW41" s="35">
        <v>23</v>
      </c>
      <c r="AX41" s="35"/>
      <c r="AY41" s="36"/>
    </row>
    <row r="42" spans="1:51" ht="15.75" thickBot="1" x14ac:dyDescent="0.3">
      <c r="D42" s="37" t="s">
        <v>8</v>
      </c>
      <c r="E42" s="8"/>
      <c r="F42" s="8"/>
      <c r="G42" s="8"/>
      <c r="H42" s="8" t="s">
        <v>9</v>
      </c>
      <c r="I42" s="8"/>
      <c r="J42" s="8"/>
      <c r="K42" s="8"/>
      <c r="L42" s="8" t="s">
        <v>10</v>
      </c>
      <c r="M42" s="8"/>
      <c r="N42" s="8"/>
      <c r="O42" s="8"/>
      <c r="P42" s="8" t="s">
        <v>11</v>
      </c>
      <c r="Q42" s="8"/>
      <c r="R42" s="8"/>
      <c r="S42" s="8"/>
      <c r="T42" s="8" t="s">
        <v>12</v>
      </c>
      <c r="U42" s="8"/>
      <c r="V42" s="8"/>
      <c r="W42" s="8"/>
      <c r="X42" s="8" t="s">
        <v>13</v>
      </c>
      <c r="Y42" s="8"/>
      <c r="Z42" s="8"/>
      <c r="AA42" s="8"/>
      <c r="AB42" s="8" t="s">
        <v>14</v>
      </c>
      <c r="AC42" s="8"/>
      <c r="AD42" s="8"/>
      <c r="AE42" s="8"/>
      <c r="AF42" s="8" t="s">
        <v>15</v>
      </c>
      <c r="AG42" s="8"/>
      <c r="AH42" s="8"/>
      <c r="AI42" s="8"/>
      <c r="AJ42" s="8" t="s">
        <v>16</v>
      </c>
      <c r="AK42" s="8"/>
      <c r="AL42" s="8"/>
      <c r="AM42" s="8"/>
      <c r="AN42" s="8" t="s">
        <v>17</v>
      </c>
      <c r="AO42" s="8"/>
      <c r="AP42" s="8"/>
      <c r="AQ42" s="10"/>
    </row>
    <row r="43" spans="1:51" ht="15.75" thickBot="1" x14ac:dyDescent="0.3">
      <c r="A43" s="4" t="s">
        <v>19</v>
      </c>
      <c r="B43" s="5"/>
      <c r="C43" s="6"/>
      <c r="D43" s="7">
        <v>41944</v>
      </c>
      <c r="E43" s="8"/>
      <c r="F43" s="8"/>
      <c r="G43" s="8"/>
      <c r="H43" s="9">
        <v>41957</v>
      </c>
      <c r="I43" s="8"/>
      <c r="J43" s="8"/>
      <c r="K43" s="8"/>
      <c r="L43" s="9">
        <v>41975</v>
      </c>
      <c r="M43" s="8"/>
      <c r="N43" s="8"/>
      <c r="O43" s="8"/>
      <c r="P43" s="9">
        <v>41989</v>
      </c>
      <c r="Q43" s="8"/>
      <c r="R43" s="8"/>
      <c r="S43" s="8"/>
      <c r="T43" s="9"/>
      <c r="U43" s="8"/>
      <c r="V43" s="8"/>
      <c r="W43" s="8"/>
      <c r="X43" s="9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10"/>
    </row>
    <row r="44" spans="1:51" ht="15.75" thickBot="1" x14ac:dyDescent="0.3">
      <c r="D44" s="11">
        <v>145</v>
      </c>
      <c r="E44" s="12"/>
      <c r="F44" s="12"/>
      <c r="G44" s="12"/>
      <c r="H44" s="12">
        <v>145</v>
      </c>
      <c r="I44" s="12"/>
      <c r="J44" s="12"/>
      <c r="K44" s="12"/>
      <c r="L44" s="12">
        <v>145</v>
      </c>
      <c r="M44" s="12"/>
      <c r="N44" s="12"/>
      <c r="O44" s="12"/>
      <c r="P44" s="12">
        <v>145</v>
      </c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3"/>
    </row>
    <row r="46" spans="1:51" ht="15.75" thickBot="1" x14ac:dyDescent="0.3"/>
    <row r="47" spans="1:51" ht="15.75" thickBot="1" x14ac:dyDescent="0.3">
      <c r="B47" s="1">
        <v>6</v>
      </c>
      <c r="C47" s="14" t="s">
        <v>3</v>
      </c>
      <c r="D47" s="14"/>
      <c r="E47" s="14"/>
      <c r="F47" s="15" t="s">
        <v>4</v>
      </c>
      <c r="G47" s="15"/>
      <c r="H47" s="15"/>
      <c r="I47" s="15"/>
      <c r="J47" s="15"/>
      <c r="K47" s="15"/>
      <c r="L47" s="15" t="s">
        <v>5</v>
      </c>
      <c r="M47" s="15"/>
      <c r="AI47" s="16" t="s">
        <v>6</v>
      </c>
      <c r="AJ47" s="17"/>
      <c r="AK47" s="17"/>
      <c r="AL47" s="17"/>
      <c r="AN47" s="16" t="s">
        <v>7</v>
      </c>
      <c r="AO47" s="17"/>
      <c r="AP47" s="17"/>
      <c r="AQ47" s="17"/>
      <c r="AT47" s="18" t="s">
        <v>20</v>
      </c>
      <c r="AU47" s="19"/>
      <c r="AV47" s="19"/>
      <c r="AW47" s="19"/>
      <c r="AX47" s="19"/>
      <c r="AY47" s="20"/>
    </row>
    <row r="48" spans="1:51" ht="15.75" thickBot="1" x14ac:dyDescent="0.3">
      <c r="C48" s="38">
        <v>18143</v>
      </c>
      <c r="D48" s="39"/>
      <c r="E48" s="43"/>
      <c r="F48" s="23">
        <v>41997</v>
      </c>
      <c r="G48" s="24"/>
      <c r="H48" s="24"/>
      <c r="I48" s="24"/>
      <c r="J48" s="24"/>
      <c r="K48" s="25"/>
      <c r="L48" s="26">
        <v>4</v>
      </c>
      <c r="M48" s="26"/>
      <c r="AI48" s="27">
        <v>340</v>
      </c>
      <c r="AJ48" s="28"/>
      <c r="AK48" s="28"/>
      <c r="AL48" s="28"/>
      <c r="AN48" s="29">
        <f>AI48-D52-H52-L52-P52-T52-X52-AB52-AF52-AJ52-AN52</f>
        <v>0</v>
      </c>
      <c r="AO48" s="30"/>
      <c r="AP48" s="30"/>
      <c r="AQ48" s="30"/>
      <c r="AT48" s="31" t="s">
        <v>21</v>
      </c>
      <c r="AU48" s="32"/>
      <c r="AV48" s="32"/>
      <c r="AW48" s="32" t="s">
        <v>22</v>
      </c>
      <c r="AX48" s="32"/>
      <c r="AY48" s="33"/>
    </row>
    <row r="49" spans="1:51" ht="15.75" thickBot="1" x14ac:dyDescent="0.3">
      <c r="AT49" s="34">
        <v>1</v>
      </c>
      <c r="AU49" s="35"/>
      <c r="AV49" s="35"/>
      <c r="AW49" s="35">
        <v>4</v>
      </c>
      <c r="AX49" s="35"/>
      <c r="AY49" s="36"/>
    </row>
    <row r="50" spans="1:51" ht="15.75" thickBot="1" x14ac:dyDescent="0.3">
      <c r="D50" s="37" t="s">
        <v>8</v>
      </c>
      <c r="E50" s="8"/>
      <c r="F50" s="8"/>
      <c r="G50" s="8"/>
      <c r="H50" s="8" t="s">
        <v>9</v>
      </c>
      <c r="I50" s="8"/>
      <c r="J50" s="8"/>
      <c r="K50" s="8"/>
      <c r="L50" s="8" t="s">
        <v>10</v>
      </c>
      <c r="M50" s="8"/>
      <c r="N50" s="8"/>
      <c r="O50" s="8"/>
      <c r="P50" s="8" t="s">
        <v>11</v>
      </c>
      <c r="Q50" s="8"/>
      <c r="R50" s="8"/>
      <c r="S50" s="8"/>
      <c r="T50" s="8" t="s">
        <v>12</v>
      </c>
      <c r="U50" s="8"/>
      <c r="V50" s="8"/>
      <c r="W50" s="8"/>
      <c r="X50" s="8" t="s">
        <v>13</v>
      </c>
      <c r="Y50" s="8"/>
      <c r="Z50" s="8"/>
      <c r="AA50" s="8"/>
      <c r="AB50" s="8" t="s">
        <v>14</v>
      </c>
      <c r="AC50" s="8"/>
      <c r="AD50" s="8"/>
      <c r="AE50" s="8"/>
      <c r="AF50" s="8" t="s">
        <v>15</v>
      </c>
      <c r="AG50" s="8"/>
      <c r="AH50" s="8"/>
      <c r="AI50" s="8"/>
      <c r="AJ50" s="8" t="s">
        <v>16</v>
      </c>
      <c r="AK50" s="8"/>
      <c r="AL50" s="8"/>
      <c r="AM50" s="8"/>
      <c r="AN50" s="8" t="s">
        <v>17</v>
      </c>
      <c r="AO50" s="8"/>
      <c r="AP50" s="8"/>
      <c r="AQ50" s="10"/>
    </row>
    <row r="51" spans="1:51" ht="15.75" thickBot="1" x14ac:dyDescent="0.3">
      <c r="A51" s="4" t="s">
        <v>19</v>
      </c>
      <c r="B51" s="5"/>
      <c r="C51" s="6"/>
      <c r="D51" s="7">
        <v>42020</v>
      </c>
      <c r="E51" s="8"/>
      <c r="F51" s="8"/>
      <c r="G51" s="8"/>
      <c r="H51" s="9">
        <v>42042</v>
      </c>
      <c r="I51" s="8"/>
      <c r="J51" s="8"/>
      <c r="K51" s="8"/>
      <c r="L51" s="9">
        <v>42063</v>
      </c>
      <c r="M51" s="8"/>
      <c r="N51" s="8"/>
      <c r="O51" s="8"/>
      <c r="P51" s="9"/>
      <c r="Q51" s="8"/>
      <c r="R51" s="8"/>
      <c r="S51" s="8"/>
      <c r="T51" s="9"/>
      <c r="U51" s="8"/>
      <c r="V51" s="8"/>
      <c r="W51" s="8"/>
      <c r="X51" s="9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10"/>
    </row>
    <row r="52" spans="1:51" ht="15.75" thickBot="1" x14ac:dyDescent="0.3">
      <c r="D52" s="11">
        <v>85</v>
      </c>
      <c r="E52" s="12"/>
      <c r="F52" s="12"/>
      <c r="G52" s="12"/>
      <c r="H52" s="12">
        <v>85</v>
      </c>
      <c r="I52" s="12"/>
      <c r="J52" s="12"/>
      <c r="K52" s="12"/>
      <c r="L52" s="12">
        <v>170</v>
      </c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3"/>
    </row>
    <row r="54" spans="1:51" ht="15.75" thickBot="1" x14ac:dyDescent="0.3"/>
    <row r="55" spans="1:51" ht="15.75" thickBot="1" x14ac:dyDescent="0.3">
      <c r="B55" s="1">
        <v>7</v>
      </c>
      <c r="C55" s="14" t="s">
        <v>3</v>
      </c>
      <c r="D55" s="14"/>
      <c r="E55" s="14"/>
      <c r="F55" s="15" t="s">
        <v>4</v>
      </c>
      <c r="G55" s="15"/>
      <c r="H55" s="15"/>
      <c r="I55" s="15"/>
      <c r="J55" s="15"/>
      <c r="K55" s="15"/>
      <c r="L55" s="15" t="s">
        <v>5</v>
      </c>
      <c r="M55" s="15"/>
      <c r="AI55" s="16" t="s">
        <v>6</v>
      </c>
      <c r="AJ55" s="17"/>
      <c r="AK55" s="17"/>
      <c r="AL55" s="17"/>
      <c r="AN55" s="16" t="s">
        <v>7</v>
      </c>
      <c r="AO55" s="17"/>
      <c r="AP55" s="17"/>
      <c r="AQ55" s="17"/>
      <c r="AT55" s="18" t="s">
        <v>20</v>
      </c>
      <c r="AU55" s="19"/>
      <c r="AV55" s="19"/>
      <c r="AW55" s="19"/>
      <c r="AX55" s="19"/>
      <c r="AY55" s="20"/>
    </row>
    <row r="56" spans="1:51" ht="15.75" thickBot="1" x14ac:dyDescent="0.3">
      <c r="C56" s="38">
        <v>20013</v>
      </c>
      <c r="D56" s="39"/>
      <c r="E56" s="43"/>
      <c r="F56" s="23">
        <v>42122</v>
      </c>
      <c r="G56" s="24"/>
      <c r="H56" s="24"/>
      <c r="I56" s="24"/>
      <c r="J56" s="24"/>
      <c r="K56" s="25"/>
      <c r="L56" s="26">
        <v>4</v>
      </c>
      <c r="M56" s="26"/>
      <c r="AI56" s="27">
        <v>380</v>
      </c>
      <c r="AJ56" s="28"/>
      <c r="AK56" s="28"/>
      <c r="AL56" s="28"/>
      <c r="AN56" s="29">
        <f>AI56-D60-H60-L60-P60-T60-X60-AB60-AF60-AJ60-AN60</f>
        <v>0</v>
      </c>
      <c r="AO56" s="30"/>
      <c r="AP56" s="30"/>
      <c r="AQ56" s="30"/>
      <c r="AT56" s="31" t="s">
        <v>21</v>
      </c>
      <c r="AU56" s="32"/>
      <c r="AV56" s="32"/>
      <c r="AW56" s="32" t="s">
        <v>22</v>
      </c>
      <c r="AX56" s="32"/>
      <c r="AY56" s="33"/>
    </row>
    <row r="57" spans="1:51" ht="15.75" thickBot="1" x14ac:dyDescent="0.3">
      <c r="AT57" s="34">
        <v>9</v>
      </c>
      <c r="AU57" s="35"/>
      <c r="AV57" s="35"/>
      <c r="AW57" s="35">
        <v>12</v>
      </c>
      <c r="AX57" s="35"/>
      <c r="AY57" s="36"/>
    </row>
    <row r="58" spans="1:51" ht="15.75" thickBot="1" x14ac:dyDescent="0.3">
      <c r="D58" s="37" t="s">
        <v>8</v>
      </c>
      <c r="E58" s="8"/>
      <c r="F58" s="8"/>
      <c r="G58" s="8"/>
      <c r="H58" s="8" t="s">
        <v>9</v>
      </c>
      <c r="I58" s="8"/>
      <c r="J58" s="8"/>
      <c r="K58" s="8"/>
      <c r="L58" s="8" t="s">
        <v>10</v>
      </c>
      <c r="M58" s="8"/>
      <c r="N58" s="8"/>
      <c r="O58" s="8"/>
      <c r="P58" s="8" t="s">
        <v>11</v>
      </c>
      <c r="Q58" s="8"/>
      <c r="R58" s="8"/>
      <c r="S58" s="8"/>
      <c r="T58" s="8" t="s">
        <v>12</v>
      </c>
      <c r="U58" s="8"/>
      <c r="V58" s="8"/>
      <c r="W58" s="8"/>
      <c r="X58" s="8" t="s">
        <v>13</v>
      </c>
      <c r="Y58" s="8"/>
      <c r="Z58" s="8"/>
      <c r="AA58" s="8"/>
      <c r="AB58" s="8" t="s">
        <v>14</v>
      </c>
      <c r="AC58" s="8"/>
      <c r="AD58" s="8"/>
      <c r="AE58" s="8"/>
      <c r="AF58" s="8" t="s">
        <v>15</v>
      </c>
      <c r="AG58" s="8"/>
      <c r="AH58" s="8"/>
      <c r="AI58" s="8"/>
      <c r="AJ58" s="8" t="s">
        <v>16</v>
      </c>
      <c r="AK58" s="8"/>
      <c r="AL58" s="8"/>
      <c r="AM58" s="8"/>
      <c r="AN58" s="8" t="s">
        <v>17</v>
      </c>
      <c r="AO58" s="8"/>
      <c r="AP58" s="8"/>
      <c r="AQ58" s="10"/>
    </row>
    <row r="59" spans="1:51" ht="15.75" thickBot="1" x14ac:dyDescent="0.3">
      <c r="A59" s="4" t="s">
        <v>19</v>
      </c>
      <c r="B59" s="5"/>
      <c r="C59" s="6"/>
      <c r="D59" s="7">
        <v>42161</v>
      </c>
      <c r="E59" s="8"/>
      <c r="F59" s="8"/>
      <c r="G59" s="8"/>
      <c r="H59" s="9">
        <v>42170</v>
      </c>
      <c r="I59" s="8"/>
      <c r="J59" s="8"/>
      <c r="K59" s="8"/>
      <c r="L59" s="9">
        <v>42193</v>
      </c>
      <c r="M59" s="8"/>
      <c r="N59" s="8"/>
      <c r="O59" s="8"/>
      <c r="P59" s="9"/>
      <c r="Q59" s="8"/>
      <c r="R59" s="8"/>
      <c r="S59" s="8"/>
      <c r="T59" s="9"/>
      <c r="U59" s="8"/>
      <c r="V59" s="8"/>
      <c r="W59" s="8"/>
      <c r="X59" s="9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10"/>
    </row>
    <row r="60" spans="1:51" ht="15.75" thickBot="1" x14ac:dyDescent="0.3">
      <c r="D60" s="11">
        <v>190</v>
      </c>
      <c r="E60" s="12"/>
      <c r="F60" s="12"/>
      <c r="G60" s="12"/>
      <c r="H60" s="12">
        <v>95</v>
      </c>
      <c r="I60" s="12"/>
      <c r="J60" s="12"/>
      <c r="K60" s="12"/>
      <c r="L60" s="12">
        <v>95</v>
      </c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3"/>
    </row>
    <row r="62" spans="1:51" ht="15.75" thickBot="1" x14ac:dyDescent="0.3"/>
    <row r="63" spans="1:51" ht="15.75" thickBot="1" x14ac:dyDescent="0.3">
      <c r="B63" s="1">
        <v>8</v>
      </c>
      <c r="C63" s="14" t="s">
        <v>3</v>
      </c>
      <c r="D63" s="14"/>
      <c r="E63" s="14"/>
      <c r="F63" s="15" t="s">
        <v>4</v>
      </c>
      <c r="G63" s="15"/>
      <c r="H63" s="15"/>
      <c r="I63" s="15"/>
      <c r="J63" s="15"/>
      <c r="K63" s="15"/>
      <c r="L63" s="15" t="s">
        <v>5</v>
      </c>
      <c r="M63" s="15"/>
      <c r="AI63" s="16" t="s">
        <v>6</v>
      </c>
      <c r="AJ63" s="17"/>
      <c r="AK63" s="17"/>
      <c r="AL63" s="17"/>
      <c r="AN63" s="16" t="s">
        <v>7</v>
      </c>
      <c r="AO63" s="17"/>
      <c r="AP63" s="17"/>
      <c r="AQ63" s="17"/>
      <c r="AT63" s="18" t="s">
        <v>20</v>
      </c>
      <c r="AU63" s="19"/>
      <c r="AV63" s="19"/>
      <c r="AW63" s="19"/>
      <c r="AX63" s="19"/>
      <c r="AY63" s="20"/>
    </row>
    <row r="64" spans="1:51" ht="15.75" thickBot="1" x14ac:dyDescent="0.3">
      <c r="C64" s="38">
        <v>20980</v>
      </c>
      <c r="D64" s="39"/>
      <c r="E64" s="43"/>
      <c r="F64" s="23">
        <v>42179</v>
      </c>
      <c r="G64" s="24"/>
      <c r="H64" s="24"/>
      <c r="I64" s="24"/>
      <c r="J64" s="24"/>
      <c r="K64" s="25"/>
      <c r="L64" s="26">
        <v>4</v>
      </c>
      <c r="M64" s="26"/>
      <c r="AI64" s="27">
        <v>240</v>
      </c>
      <c r="AJ64" s="28"/>
      <c r="AK64" s="28"/>
      <c r="AL64" s="28"/>
      <c r="AN64" s="29">
        <f>AI64-D68-H68-L68-P68-T68-X68-AB68-AF68-AJ68-AN68</f>
        <v>0</v>
      </c>
      <c r="AO64" s="30"/>
      <c r="AP64" s="30"/>
      <c r="AQ64" s="30"/>
      <c r="AT64" s="31" t="s">
        <v>21</v>
      </c>
      <c r="AU64" s="32"/>
      <c r="AV64" s="32"/>
      <c r="AW64" s="32" t="s">
        <v>22</v>
      </c>
      <c r="AX64" s="32"/>
      <c r="AY64" s="33"/>
    </row>
    <row r="65" spans="1:51" ht="15.75" thickBot="1" x14ac:dyDescent="0.3">
      <c r="AT65" s="34">
        <v>13</v>
      </c>
      <c r="AU65" s="35"/>
      <c r="AV65" s="35"/>
      <c r="AW65" s="35">
        <v>16</v>
      </c>
      <c r="AX65" s="35"/>
      <c r="AY65" s="36"/>
    </row>
    <row r="66" spans="1:51" ht="15.75" thickBot="1" x14ac:dyDescent="0.3">
      <c r="D66" s="37" t="s">
        <v>8</v>
      </c>
      <c r="E66" s="8"/>
      <c r="F66" s="8"/>
      <c r="G66" s="8"/>
      <c r="H66" s="8" t="s">
        <v>9</v>
      </c>
      <c r="I66" s="8"/>
      <c r="J66" s="8"/>
      <c r="K66" s="8"/>
      <c r="L66" s="8" t="s">
        <v>10</v>
      </c>
      <c r="M66" s="8"/>
      <c r="N66" s="8"/>
      <c r="O66" s="8"/>
      <c r="P66" s="8" t="s">
        <v>11</v>
      </c>
      <c r="Q66" s="8"/>
      <c r="R66" s="8"/>
      <c r="S66" s="8"/>
      <c r="T66" s="8" t="s">
        <v>12</v>
      </c>
      <c r="U66" s="8"/>
      <c r="V66" s="8"/>
      <c r="W66" s="8"/>
      <c r="X66" s="8" t="s">
        <v>13</v>
      </c>
      <c r="Y66" s="8"/>
      <c r="Z66" s="8"/>
      <c r="AA66" s="8"/>
      <c r="AB66" s="8" t="s">
        <v>14</v>
      </c>
      <c r="AC66" s="8"/>
      <c r="AD66" s="8"/>
      <c r="AE66" s="8"/>
      <c r="AF66" s="8" t="s">
        <v>15</v>
      </c>
      <c r="AG66" s="8"/>
      <c r="AH66" s="8"/>
      <c r="AI66" s="8"/>
      <c r="AJ66" s="8" t="s">
        <v>16</v>
      </c>
      <c r="AK66" s="8"/>
      <c r="AL66" s="8"/>
      <c r="AM66" s="8"/>
      <c r="AN66" s="8" t="s">
        <v>17</v>
      </c>
      <c r="AO66" s="8"/>
      <c r="AP66" s="8"/>
      <c r="AQ66" s="10"/>
    </row>
    <row r="67" spans="1:51" ht="15.75" thickBot="1" x14ac:dyDescent="0.3">
      <c r="A67" s="4" t="s">
        <v>19</v>
      </c>
      <c r="B67" s="5"/>
      <c r="C67" s="6"/>
      <c r="D67" s="7">
        <v>42207</v>
      </c>
      <c r="E67" s="8"/>
      <c r="F67" s="8"/>
      <c r="G67" s="8"/>
      <c r="H67" s="9">
        <v>42232</v>
      </c>
      <c r="I67" s="8"/>
      <c r="J67" s="8"/>
      <c r="K67" s="8"/>
      <c r="L67" s="9">
        <v>42255</v>
      </c>
      <c r="M67" s="8"/>
      <c r="N67" s="8"/>
      <c r="O67" s="8"/>
      <c r="P67" s="9"/>
      <c r="Q67" s="8"/>
      <c r="R67" s="8"/>
      <c r="S67" s="8"/>
      <c r="T67" s="9"/>
      <c r="U67" s="8"/>
      <c r="V67" s="8"/>
      <c r="W67" s="8"/>
      <c r="X67" s="9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10"/>
    </row>
    <row r="68" spans="1:51" ht="15.75" thickBot="1" x14ac:dyDescent="0.3">
      <c r="D68" s="11">
        <v>60</v>
      </c>
      <c r="E68" s="12"/>
      <c r="F68" s="12"/>
      <c r="G68" s="12"/>
      <c r="H68" s="12">
        <v>60</v>
      </c>
      <c r="I68" s="12"/>
      <c r="J68" s="12"/>
      <c r="K68" s="12"/>
      <c r="L68" s="12">
        <v>120</v>
      </c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3"/>
    </row>
    <row r="70" spans="1:51" ht="15.75" thickBot="1" x14ac:dyDescent="0.3"/>
    <row r="71" spans="1:51" ht="15.75" thickBot="1" x14ac:dyDescent="0.3">
      <c r="B71" s="1">
        <v>9</v>
      </c>
      <c r="C71" s="14" t="s">
        <v>3</v>
      </c>
      <c r="D71" s="14"/>
      <c r="E71" s="14"/>
      <c r="F71" s="15" t="s">
        <v>4</v>
      </c>
      <c r="G71" s="15"/>
      <c r="H71" s="15"/>
      <c r="I71" s="15"/>
      <c r="J71" s="15"/>
      <c r="K71" s="15"/>
      <c r="L71" s="15" t="s">
        <v>5</v>
      </c>
      <c r="M71" s="15"/>
      <c r="AI71" s="16" t="s">
        <v>6</v>
      </c>
      <c r="AJ71" s="17"/>
      <c r="AK71" s="17"/>
      <c r="AL71" s="17"/>
      <c r="AN71" s="16" t="s">
        <v>7</v>
      </c>
      <c r="AO71" s="17"/>
      <c r="AP71" s="17"/>
      <c r="AQ71" s="17"/>
      <c r="AT71" s="18" t="s">
        <v>20</v>
      </c>
      <c r="AU71" s="19"/>
      <c r="AV71" s="19"/>
      <c r="AW71" s="19"/>
      <c r="AX71" s="19"/>
      <c r="AY71" s="20"/>
    </row>
    <row r="72" spans="1:51" ht="15.75" thickBot="1" x14ac:dyDescent="0.3">
      <c r="C72" s="38">
        <v>21223</v>
      </c>
      <c r="D72" s="39"/>
      <c r="E72" s="43"/>
      <c r="F72" s="23">
        <v>42193</v>
      </c>
      <c r="G72" s="24"/>
      <c r="H72" s="24"/>
      <c r="I72" s="24"/>
      <c r="J72" s="24"/>
      <c r="K72" s="25"/>
      <c r="L72" s="26">
        <v>4</v>
      </c>
      <c r="M72" s="26"/>
      <c r="AI72" s="27">
        <v>250</v>
      </c>
      <c r="AJ72" s="28"/>
      <c r="AK72" s="28"/>
      <c r="AL72" s="28"/>
      <c r="AN72" s="29">
        <f>AI72-D76-H76-L76-P76-T76-X76-AB76-AF76-AJ76-AN76</f>
        <v>0</v>
      </c>
      <c r="AO72" s="30"/>
      <c r="AP72" s="30"/>
      <c r="AQ72" s="30"/>
      <c r="AT72" s="31" t="s">
        <v>21</v>
      </c>
      <c r="AU72" s="32"/>
      <c r="AV72" s="32"/>
      <c r="AW72" s="32" t="s">
        <v>22</v>
      </c>
      <c r="AX72" s="32"/>
      <c r="AY72" s="33"/>
    </row>
    <row r="73" spans="1:51" ht="15.75" thickBot="1" x14ac:dyDescent="0.3">
      <c r="AT73" s="34">
        <v>13</v>
      </c>
      <c r="AU73" s="35"/>
      <c r="AV73" s="35"/>
      <c r="AW73" s="35">
        <v>16</v>
      </c>
      <c r="AX73" s="35"/>
      <c r="AY73" s="36"/>
    </row>
    <row r="74" spans="1:51" ht="15.75" thickBot="1" x14ac:dyDescent="0.3">
      <c r="D74" s="37" t="s">
        <v>8</v>
      </c>
      <c r="E74" s="8"/>
      <c r="F74" s="8"/>
      <c r="G74" s="8"/>
      <c r="H74" s="8" t="s">
        <v>9</v>
      </c>
      <c r="I74" s="8"/>
      <c r="J74" s="8"/>
      <c r="K74" s="8"/>
      <c r="L74" s="8" t="s">
        <v>10</v>
      </c>
      <c r="M74" s="8"/>
      <c r="N74" s="8"/>
      <c r="O74" s="8"/>
      <c r="P74" s="8" t="s">
        <v>11</v>
      </c>
      <c r="Q74" s="8"/>
      <c r="R74" s="8"/>
      <c r="S74" s="8"/>
      <c r="T74" s="8" t="s">
        <v>12</v>
      </c>
      <c r="U74" s="8"/>
      <c r="V74" s="8"/>
      <c r="W74" s="8"/>
      <c r="X74" s="8" t="s">
        <v>13</v>
      </c>
      <c r="Y74" s="8"/>
      <c r="Z74" s="8"/>
      <c r="AA74" s="8"/>
      <c r="AB74" s="8" t="s">
        <v>14</v>
      </c>
      <c r="AC74" s="8"/>
      <c r="AD74" s="8"/>
      <c r="AE74" s="8"/>
      <c r="AF74" s="8" t="s">
        <v>15</v>
      </c>
      <c r="AG74" s="8"/>
      <c r="AH74" s="8"/>
      <c r="AI74" s="8"/>
      <c r="AJ74" s="8" t="s">
        <v>16</v>
      </c>
      <c r="AK74" s="8"/>
      <c r="AL74" s="8"/>
      <c r="AM74" s="8"/>
      <c r="AN74" s="8" t="s">
        <v>17</v>
      </c>
      <c r="AO74" s="8"/>
      <c r="AP74" s="8"/>
      <c r="AQ74" s="10"/>
    </row>
    <row r="75" spans="1:51" ht="15.75" thickBot="1" x14ac:dyDescent="0.3">
      <c r="A75" s="4" t="s">
        <v>19</v>
      </c>
      <c r="B75" s="5"/>
      <c r="C75" s="6"/>
      <c r="D75" s="7">
        <v>42207</v>
      </c>
      <c r="E75" s="8"/>
      <c r="F75" s="8"/>
      <c r="G75" s="8"/>
      <c r="H75" s="9">
        <v>42232</v>
      </c>
      <c r="I75" s="8"/>
      <c r="J75" s="8"/>
      <c r="K75" s="8"/>
      <c r="L75" s="9">
        <v>42264</v>
      </c>
      <c r="M75" s="8"/>
      <c r="N75" s="8"/>
      <c r="O75" s="8"/>
      <c r="P75" s="9"/>
      <c r="Q75" s="8"/>
      <c r="R75" s="8"/>
      <c r="S75" s="8"/>
      <c r="T75" s="9"/>
      <c r="U75" s="8"/>
      <c r="V75" s="8"/>
      <c r="W75" s="8"/>
      <c r="X75" s="9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10"/>
    </row>
    <row r="76" spans="1:51" ht="15.75" thickBot="1" x14ac:dyDescent="0.3">
      <c r="D76" s="11">
        <v>63</v>
      </c>
      <c r="E76" s="12"/>
      <c r="F76" s="12"/>
      <c r="G76" s="12"/>
      <c r="H76" s="12">
        <v>63</v>
      </c>
      <c r="I76" s="12"/>
      <c r="J76" s="12"/>
      <c r="K76" s="12"/>
      <c r="L76" s="12">
        <v>124</v>
      </c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3"/>
    </row>
    <row r="78" spans="1:51" ht="15.75" thickBot="1" x14ac:dyDescent="0.3"/>
    <row r="79" spans="1:51" ht="15.75" thickBot="1" x14ac:dyDescent="0.3">
      <c r="B79" s="1">
        <v>10</v>
      </c>
      <c r="C79" s="14" t="s">
        <v>3</v>
      </c>
      <c r="D79" s="14"/>
      <c r="E79" s="14"/>
      <c r="F79" s="15" t="s">
        <v>4</v>
      </c>
      <c r="G79" s="15"/>
      <c r="H79" s="15"/>
      <c r="I79" s="15"/>
      <c r="J79" s="15"/>
      <c r="K79" s="15"/>
      <c r="L79" s="15" t="s">
        <v>5</v>
      </c>
      <c r="M79" s="15"/>
      <c r="AI79" s="16" t="s">
        <v>6</v>
      </c>
      <c r="AJ79" s="17"/>
      <c r="AK79" s="17"/>
      <c r="AL79" s="17"/>
      <c r="AN79" s="16" t="s">
        <v>7</v>
      </c>
      <c r="AO79" s="17"/>
      <c r="AP79" s="17"/>
      <c r="AQ79" s="17"/>
      <c r="AT79" s="18" t="s">
        <v>20</v>
      </c>
      <c r="AU79" s="19"/>
      <c r="AV79" s="19"/>
      <c r="AW79" s="19"/>
      <c r="AX79" s="19"/>
      <c r="AY79" s="20"/>
    </row>
    <row r="80" spans="1:51" ht="15.75" thickBot="1" x14ac:dyDescent="0.3">
      <c r="C80" s="38">
        <v>22497</v>
      </c>
      <c r="D80" s="39"/>
      <c r="E80" s="43"/>
      <c r="F80" s="23">
        <v>42268</v>
      </c>
      <c r="G80" s="24"/>
      <c r="H80" s="24"/>
      <c r="I80" s="24"/>
      <c r="J80" s="24"/>
      <c r="K80" s="25"/>
      <c r="L80" s="26">
        <v>4</v>
      </c>
      <c r="M80" s="26"/>
      <c r="AI80" s="27">
        <v>650</v>
      </c>
      <c r="AJ80" s="28"/>
      <c r="AK80" s="28"/>
      <c r="AL80" s="28"/>
      <c r="AN80" s="29">
        <f>AI80-D84-H84-L84-P84-T84-X84-AB84-AF84-AJ84-AN84</f>
        <v>0</v>
      </c>
      <c r="AO80" s="30"/>
      <c r="AP80" s="30"/>
      <c r="AQ80" s="30"/>
      <c r="AT80" s="31" t="s">
        <v>21</v>
      </c>
      <c r="AU80" s="32"/>
      <c r="AV80" s="32"/>
      <c r="AW80" s="32" t="s">
        <v>22</v>
      </c>
      <c r="AX80" s="32"/>
      <c r="AY80" s="33"/>
    </row>
    <row r="81" spans="1:51" ht="15.75" thickBot="1" x14ac:dyDescent="0.3">
      <c r="AT81" s="34">
        <v>18</v>
      </c>
      <c r="AU81" s="35"/>
      <c r="AV81" s="35"/>
      <c r="AW81" s="35">
        <v>21</v>
      </c>
      <c r="AX81" s="35"/>
      <c r="AY81" s="36"/>
    </row>
    <row r="82" spans="1:51" ht="15.75" thickBot="1" x14ac:dyDescent="0.3">
      <c r="D82" s="37" t="s">
        <v>8</v>
      </c>
      <c r="E82" s="8"/>
      <c r="F82" s="8"/>
      <c r="G82" s="8"/>
      <c r="H82" s="8" t="s">
        <v>9</v>
      </c>
      <c r="I82" s="8"/>
      <c r="J82" s="8"/>
      <c r="K82" s="8"/>
      <c r="L82" s="8" t="s">
        <v>10</v>
      </c>
      <c r="M82" s="8"/>
      <c r="N82" s="8"/>
      <c r="O82" s="8"/>
      <c r="P82" s="8" t="s">
        <v>11</v>
      </c>
      <c r="Q82" s="8"/>
      <c r="R82" s="8"/>
      <c r="S82" s="8"/>
      <c r="T82" s="8" t="s">
        <v>12</v>
      </c>
      <c r="U82" s="8"/>
      <c r="V82" s="8"/>
      <c r="W82" s="8"/>
      <c r="X82" s="8" t="s">
        <v>13</v>
      </c>
      <c r="Y82" s="8"/>
      <c r="Z82" s="8"/>
      <c r="AA82" s="8"/>
      <c r="AB82" s="8" t="s">
        <v>14</v>
      </c>
      <c r="AC82" s="8"/>
      <c r="AD82" s="8"/>
      <c r="AE82" s="8"/>
      <c r="AF82" s="8" t="s">
        <v>15</v>
      </c>
      <c r="AG82" s="8"/>
      <c r="AH82" s="8"/>
      <c r="AI82" s="8"/>
      <c r="AJ82" s="8" t="s">
        <v>16</v>
      </c>
      <c r="AK82" s="8"/>
      <c r="AL82" s="8"/>
      <c r="AM82" s="8"/>
      <c r="AN82" s="8" t="s">
        <v>17</v>
      </c>
      <c r="AO82" s="8"/>
      <c r="AP82" s="8"/>
      <c r="AQ82" s="10"/>
    </row>
    <row r="83" spans="1:51" ht="15.75" thickBot="1" x14ac:dyDescent="0.3">
      <c r="A83" s="4" t="s">
        <v>19</v>
      </c>
      <c r="B83" s="5"/>
      <c r="C83" s="6"/>
      <c r="D83" s="7">
        <v>42285</v>
      </c>
      <c r="E83" s="8"/>
      <c r="F83" s="8"/>
      <c r="G83" s="8"/>
      <c r="H83" s="9">
        <v>42292</v>
      </c>
      <c r="I83" s="8"/>
      <c r="J83" s="8"/>
      <c r="K83" s="8"/>
      <c r="L83" s="9">
        <v>42315</v>
      </c>
      <c r="M83" s="8"/>
      <c r="N83" s="8"/>
      <c r="O83" s="8"/>
      <c r="P83" s="9">
        <v>42322</v>
      </c>
      <c r="Q83" s="8"/>
      <c r="R83" s="8"/>
      <c r="S83" s="8"/>
      <c r="T83" s="9"/>
      <c r="U83" s="8"/>
      <c r="V83" s="8"/>
      <c r="W83" s="8"/>
      <c r="X83" s="9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10"/>
    </row>
    <row r="84" spans="1:51" ht="15.75" thickBot="1" x14ac:dyDescent="0.3">
      <c r="D84" s="11">
        <v>163</v>
      </c>
      <c r="E84" s="12"/>
      <c r="F84" s="12"/>
      <c r="G84" s="12"/>
      <c r="H84" s="12">
        <v>163</v>
      </c>
      <c r="I84" s="12"/>
      <c r="J84" s="12"/>
      <c r="K84" s="12"/>
      <c r="L84" s="12">
        <v>163</v>
      </c>
      <c r="M84" s="12"/>
      <c r="N84" s="12"/>
      <c r="O84" s="12"/>
      <c r="P84" s="12">
        <v>161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3"/>
    </row>
    <row r="86" spans="1:51" ht="15.75" thickBot="1" x14ac:dyDescent="0.3"/>
    <row r="87" spans="1:51" ht="15.75" thickBot="1" x14ac:dyDescent="0.3">
      <c r="B87" s="1">
        <v>11</v>
      </c>
      <c r="C87" s="14" t="s">
        <v>3</v>
      </c>
      <c r="D87" s="14"/>
      <c r="E87" s="14"/>
      <c r="F87" s="15" t="s">
        <v>4</v>
      </c>
      <c r="G87" s="15"/>
      <c r="H87" s="15"/>
      <c r="I87" s="15"/>
      <c r="J87" s="15"/>
      <c r="K87" s="15"/>
      <c r="L87" s="15" t="s">
        <v>5</v>
      </c>
      <c r="M87" s="15"/>
      <c r="AI87" s="16" t="s">
        <v>6</v>
      </c>
      <c r="AJ87" s="17"/>
      <c r="AK87" s="17"/>
      <c r="AL87" s="17"/>
      <c r="AN87" s="16" t="s">
        <v>7</v>
      </c>
      <c r="AO87" s="17"/>
      <c r="AP87" s="17"/>
      <c r="AQ87" s="17"/>
      <c r="AT87" s="18" t="s">
        <v>20</v>
      </c>
      <c r="AU87" s="19"/>
      <c r="AV87" s="19"/>
      <c r="AW87" s="19"/>
      <c r="AX87" s="19"/>
      <c r="AY87" s="20"/>
    </row>
    <row r="88" spans="1:51" ht="15.75" thickBot="1" x14ac:dyDescent="0.3">
      <c r="C88" s="38">
        <v>23238</v>
      </c>
      <c r="D88" s="39"/>
      <c r="E88" s="43"/>
      <c r="F88" s="23">
        <v>42315</v>
      </c>
      <c r="G88" s="24"/>
      <c r="H88" s="24"/>
      <c r="I88" s="24"/>
      <c r="J88" s="24"/>
      <c r="K88" s="25"/>
      <c r="L88" s="26">
        <v>6</v>
      </c>
      <c r="M88" s="26"/>
      <c r="AI88" s="27">
        <v>990</v>
      </c>
      <c r="AJ88" s="28"/>
      <c r="AK88" s="28"/>
      <c r="AL88" s="28"/>
      <c r="AN88" s="29">
        <f>AI88-D92-H92-L92-P92-T92-X92-AB92-AF92-AJ92-AN92</f>
        <v>0</v>
      </c>
      <c r="AO88" s="30"/>
      <c r="AP88" s="30"/>
      <c r="AQ88" s="30"/>
      <c r="AT88" s="31" t="s">
        <v>21</v>
      </c>
      <c r="AU88" s="32"/>
      <c r="AV88" s="32"/>
      <c r="AW88" s="32" t="s">
        <v>22</v>
      </c>
      <c r="AX88" s="32"/>
      <c r="AY88" s="33"/>
    </row>
    <row r="89" spans="1:51" ht="15.75" thickBot="1" x14ac:dyDescent="0.3">
      <c r="AT89" s="34">
        <v>22</v>
      </c>
      <c r="AU89" s="35"/>
      <c r="AV89" s="35"/>
      <c r="AW89" s="35">
        <v>3</v>
      </c>
      <c r="AX89" s="35"/>
      <c r="AY89" s="36"/>
    </row>
    <row r="90" spans="1:51" ht="15.75" thickBot="1" x14ac:dyDescent="0.3">
      <c r="D90" s="37" t="s">
        <v>8</v>
      </c>
      <c r="E90" s="8"/>
      <c r="F90" s="8"/>
      <c r="G90" s="8"/>
      <c r="H90" s="8" t="s">
        <v>9</v>
      </c>
      <c r="I90" s="8"/>
      <c r="J90" s="8"/>
      <c r="K90" s="8"/>
      <c r="L90" s="8" t="s">
        <v>10</v>
      </c>
      <c r="M90" s="8"/>
      <c r="N90" s="8"/>
      <c r="O90" s="8"/>
      <c r="P90" s="8" t="s">
        <v>11</v>
      </c>
      <c r="Q90" s="8"/>
      <c r="R90" s="8"/>
      <c r="S90" s="8"/>
      <c r="T90" s="8" t="s">
        <v>12</v>
      </c>
      <c r="U90" s="8"/>
      <c r="V90" s="8"/>
      <c r="W90" s="8"/>
      <c r="X90" s="8" t="s">
        <v>13</v>
      </c>
      <c r="Y90" s="8"/>
      <c r="Z90" s="8"/>
      <c r="AA90" s="8"/>
      <c r="AB90" s="8" t="s">
        <v>14</v>
      </c>
      <c r="AC90" s="8"/>
      <c r="AD90" s="8"/>
      <c r="AE90" s="8"/>
      <c r="AF90" s="8" t="s">
        <v>15</v>
      </c>
      <c r="AG90" s="8"/>
      <c r="AH90" s="8"/>
      <c r="AI90" s="8"/>
      <c r="AJ90" s="8" t="s">
        <v>16</v>
      </c>
      <c r="AK90" s="8"/>
      <c r="AL90" s="8"/>
      <c r="AM90" s="8"/>
      <c r="AN90" s="8" t="s">
        <v>17</v>
      </c>
      <c r="AO90" s="8"/>
      <c r="AP90" s="8"/>
      <c r="AQ90" s="10"/>
    </row>
    <row r="91" spans="1:51" ht="15.75" thickBot="1" x14ac:dyDescent="0.3">
      <c r="A91" s="4" t="s">
        <v>19</v>
      </c>
      <c r="B91" s="5"/>
      <c r="C91" s="6"/>
      <c r="D91" s="7">
        <v>42322</v>
      </c>
      <c r="E91" s="8"/>
      <c r="F91" s="8"/>
      <c r="G91" s="8"/>
      <c r="H91" s="9">
        <v>42346</v>
      </c>
      <c r="I91" s="8"/>
      <c r="J91" s="8"/>
      <c r="K91" s="8"/>
      <c r="L91" s="9">
        <v>42346</v>
      </c>
      <c r="M91" s="8"/>
      <c r="N91" s="8"/>
      <c r="O91" s="8"/>
      <c r="P91" s="9">
        <v>42353</v>
      </c>
      <c r="Q91" s="8"/>
      <c r="R91" s="8"/>
      <c r="S91" s="8"/>
      <c r="T91" s="9">
        <v>42377</v>
      </c>
      <c r="U91" s="8"/>
      <c r="V91" s="8"/>
      <c r="W91" s="8"/>
      <c r="X91" s="9">
        <v>42384</v>
      </c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10"/>
    </row>
    <row r="92" spans="1:51" ht="15.75" thickBot="1" x14ac:dyDescent="0.3">
      <c r="D92" s="11">
        <v>161</v>
      </c>
      <c r="E92" s="12"/>
      <c r="F92" s="12"/>
      <c r="G92" s="12"/>
      <c r="H92" s="12">
        <v>161</v>
      </c>
      <c r="I92" s="12"/>
      <c r="J92" s="12"/>
      <c r="K92" s="12"/>
      <c r="L92" s="12">
        <v>161</v>
      </c>
      <c r="M92" s="12"/>
      <c r="N92" s="12"/>
      <c r="O92" s="12"/>
      <c r="P92" s="12">
        <v>161</v>
      </c>
      <c r="Q92" s="12"/>
      <c r="R92" s="12"/>
      <c r="S92" s="12"/>
      <c r="T92" s="12">
        <v>161</v>
      </c>
      <c r="U92" s="12"/>
      <c r="V92" s="12"/>
      <c r="W92" s="12"/>
      <c r="X92" s="12">
        <v>185</v>
      </c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3"/>
    </row>
    <row r="94" spans="1:51" ht="15.75" thickBot="1" x14ac:dyDescent="0.3"/>
    <row r="95" spans="1:51" ht="15.75" thickBot="1" x14ac:dyDescent="0.3">
      <c r="B95" s="1">
        <v>12</v>
      </c>
      <c r="C95" s="14" t="s">
        <v>3</v>
      </c>
      <c r="D95" s="14"/>
      <c r="E95" s="14"/>
      <c r="F95" s="15" t="s">
        <v>4</v>
      </c>
      <c r="G95" s="15"/>
      <c r="H95" s="15"/>
      <c r="I95" s="15"/>
      <c r="J95" s="15"/>
      <c r="K95" s="15"/>
      <c r="L95" s="15" t="s">
        <v>5</v>
      </c>
      <c r="M95" s="15"/>
      <c r="AI95" s="16" t="s">
        <v>6</v>
      </c>
      <c r="AJ95" s="17"/>
      <c r="AK95" s="17"/>
      <c r="AL95" s="17"/>
      <c r="AN95" s="16" t="s">
        <v>7</v>
      </c>
      <c r="AO95" s="17"/>
      <c r="AP95" s="17"/>
      <c r="AQ95" s="17"/>
      <c r="AT95" s="18" t="s">
        <v>20</v>
      </c>
      <c r="AU95" s="19"/>
      <c r="AV95" s="19"/>
      <c r="AW95" s="19"/>
      <c r="AX95" s="19"/>
      <c r="AY95" s="20"/>
    </row>
    <row r="96" spans="1:51" ht="15.75" thickBot="1" x14ac:dyDescent="0.3">
      <c r="C96" s="38">
        <v>24013</v>
      </c>
      <c r="D96" s="39"/>
      <c r="E96" s="43"/>
      <c r="F96" s="23">
        <v>42359</v>
      </c>
      <c r="G96" s="24"/>
      <c r="H96" s="24"/>
      <c r="I96" s="24"/>
      <c r="J96" s="24"/>
      <c r="K96" s="25"/>
      <c r="L96" s="26">
        <v>4</v>
      </c>
      <c r="M96" s="26"/>
      <c r="AI96" s="27">
        <v>320</v>
      </c>
      <c r="AJ96" s="28"/>
      <c r="AK96" s="28"/>
      <c r="AL96" s="28"/>
      <c r="AN96" s="29">
        <f>AI96-D100-H100-L100-P100-T100-X100-AB100-AF100-AJ100-AN100</f>
        <v>0</v>
      </c>
      <c r="AO96" s="30"/>
      <c r="AP96" s="30"/>
      <c r="AQ96" s="30"/>
      <c r="AT96" s="31" t="s">
        <v>21</v>
      </c>
      <c r="AU96" s="32"/>
      <c r="AV96" s="32"/>
      <c r="AW96" s="32" t="s">
        <v>22</v>
      </c>
      <c r="AX96" s="32"/>
      <c r="AY96" s="33"/>
    </row>
    <row r="97" spans="1:51" ht="15.75" thickBot="1" x14ac:dyDescent="0.3">
      <c r="AT97" s="34">
        <v>24</v>
      </c>
      <c r="AU97" s="35"/>
      <c r="AV97" s="35"/>
      <c r="AW97" s="35">
        <v>3</v>
      </c>
      <c r="AX97" s="35"/>
      <c r="AY97" s="36"/>
    </row>
    <row r="98" spans="1:51" ht="15.75" thickBot="1" x14ac:dyDescent="0.3">
      <c r="D98" s="37" t="s">
        <v>8</v>
      </c>
      <c r="E98" s="8"/>
      <c r="F98" s="8"/>
      <c r="G98" s="8"/>
      <c r="H98" s="8" t="s">
        <v>9</v>
      </c>
      <c r="I98" s="8"/>
      <c r="J98" s="8"/>
      <c r="K98" s="8"/>
      <c r="L98" s="8" t="s">
        <v>10</v>
      </c>
      <c r="M98" s="8"/>
      <c r="N98" s="8"/>
      <c r="O98" s="8"/>
      <c r="P98" s="8" t="s">
        <v>11</v>
      </c>
      <c r="Q98" s="8"/>
      <c r="R98" s="8"/>
      <c r="S98" s="8"/>
      <c r="T98" s="8" t="s">
        <v>12</v>
      </c>
      <c r="U98" s="8"/>
      <c r="V98" s="8"/>
      <c r="W98" s="8"/>
      <c r="X98" s="8" t="s">
        <v>13</v>
      </c>
      <c r="Y98" s="8"/>
      <c r="Z98" s="8"/>
      <c r="AA98" s="8"/>
      <c r="AB98" s="8" t="s">
        <v>14</v>
      </c>
      <c r="AC98" s="8"/>
      <c r="AD98" s="8"/>
      <c r="AE98" s="8"/>
      <c r="AF98" s="8" t="s">
        <v>15</v>
      </c>
      <c r="AG98" s="8"/>
      <c r="AH98" s="8"/>
      <c r="AI98" s="8"/>
      <c r="AJ98" s="8" t="s">
        <v>16</v>
      </c>
      <c r="AK98" s="8"/>
      <c r="AL98" s="8"/>
      <c r="AM98" s="8"/>
      <c r="AN98" s="8" t="s">
        <v>17</v>
      </c>
      <c r="AO98" s="8"/>
      <c r="AP98" s="8"/>
      <c r="AQ98" s="10"/>
    </row>
    <row r="99" spans="1:51" ht="15.75" thickBot="1" x14ac:dyDescent="0.3">
      <c r="A99" s="4" t="s">
        <v>19</v>
      </c>
      <c r="B99" s="5"/>
      <c r="C99" s="6"/>
      <c r="D99" s="7">
        <v>42377</v>
      </c>
      <c r="E99" s="8"/>
      <c r="F99" s="8"/>
      <c r="G99" s="8"/>
      <c r="H99" s="9">
        <v>42384</v>
      </c>
      <c r="I99" s="8"/>
      <c r="J99" s="8"/>
      <c r="K99" s="8"/>
      <c r="L99" s="9">
        <v>42404</v>
      </c>
      <c r="M99" s="8"/>
      <c r="N99" s="8"/>
      <c r="O99" s="8"/>
      <c r="P99" s="9">
        <v>42415</v>
      </c>
      <c r="Q99" s="8"/>
      <c r="R99" s="8"/>
      <c r="S99" s="8"/>
      <c r="T99" s="9"/>
      <c r="U99" s="8"/>
      <c r="V99" s="8"/>
      <c r="W99" s="8"/>
      <c r="X99" s="9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10"/>
    </row>
    <row r="100" spans="1:51" ht="15.75" thickBot="1" x14ac:dyDescent="0.3">
      <c r="D100" s="11">
        <v>80</v>
      </c>
      <c r="E100" s="12"/>
      <c r="F100" s="12"/>
      <c r="G100" s="12"/>
      <c r="H100" s="12">
        <v>80</v>
      </c>
      <c r="I100" s="12"/>
      <c r="J100" s="12"/>
      <c r="K100" s="12"/>
      <c r="L100" s="12">
        <v>80</v>
      </c>
      <c r="M100" s="12"/>
      <c r="N100" s="12"/>
      <c r="O100" s="12"/>
      <c r="P100" s="12">
        <v>80</v>
      </c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3"/>
    </row>
    <row r="102" spans="1:51" ht="15.75" thickBot="1" x14ac:dyDescent="0.3"/>
    <row r="103" spans="1:51" ht="15.75" thickBot="1" x14ac:dyDescent="0.3">
      <c r="B103" s="1">
        <v>13</v>
      </c>
      <c r="C103" s="14" t="s">
        <v>3</v>
      </c>
      <c r="D103" s="14"/>
      <c r="E103" s="14"/>
      <c r="F103" s="15" t="s">
        <v>4</v>
      </c>
      <c r="G103" s="15"/>
      <c r="H103" s="15"/>
      <c r="I103" s="15"/>
      <c r="J103" s="15"/>
      <c r="K103" s="15"/>
      <c r="L103" s="15" t="s">
        <v>5</v>
      </c>
      <c r="M103" s="15"/>
      <c r="AI103" s="16" t="s">
        <v>6</v>
      </c>
      <c r="AJ103" s="17"/>
      <c r="AK103" s="17"/>
      <c r="AL103" s="17"/>
      <c r="AN103" s="16" t="s">
        <v>7</v>
      </c>
      <c r="AO103" s="17"/>
      <c r="AP103" s="17"/>
      <c r="AQ103" s="17"/>
      <c r="AT103" s="18" t="s">
        <v>20</v>
      </c>
      <c r="AU103" s="19"/>
      <c r="AV103" s="19"/>
      <c r="AW103" s="19"/>
      <c r="AX103" s="19"/>
      <c r="AY103" s="20"/>
    </row>
    <row r="104" spans="1:51" ht="15.75" thickBot="1" x14ac:dyDescent="0.3">
      <c r="C104" s="38">
        <v>24642</v>
      </c>
      <c r="D104" s="39"/>
      <c r="E104" s="43"/>
      <c r="F104" s="23">
        <v>42404</v>
      </c>
      <c r="G104" s="24"/>
      <c r="H104" s="24"/>
      <c r="I104" s="24"/>
      <c r="J104" s="24"/>
      <c r="K104" s="25"/>
      <c r="L104" s="26">
        <v>4</v>
      </c>
      <c r="M104" s="26"/>
      <c r="AI104" s="27">
        <v>380</v>
      </c>
      <c r="AJ104" s="28"/>
      <c r="AK104" s="28"/>
      <c r="AL104" s="28"/>
      <c r="AN104" s="29">
        <f>AI104-D108-H108-L108-P108-T108-X108-AB108-AF108-AJ108-AN108</f>
        <v>0</v>
      </c>
      <c r="AO104" s="30"/>
      <c r="AP104" s="30"/>
      <c r="AQ104" s="30"/>
      <c r="AT104" s="31" t="s">
        <v>21</v>
      </c>
      <c r="AU104" s="32"/>
      <c r="AV104" s="32"/>
      <c r="AW104" s="32" t="s">
        <v>22</v>
      </c>
      <c r="AX104" s="32"/>
      <c r="AY104" s="33"/>
    </row>
    <row r="105" spans="1:51" ht="15.75" thickBot="1" x14ac:dyDescent="0.3">
      <c r="AT105" s="34">
        <v>3</v>
      </c>
      <c r="AU105" s="35"/>
      <c r="AV105" s="35"/>
      <c r="AW105" s="35">
        <v>6</v>
      </c>
      <c r="AX105" s="35"/>
      <c r="AY105" s="36"/>
    </row>
    <row r="106" spans="1:51" ht="15.75" thickBot="1" x14ac:dyDescent="0.3">
      <c r="D106" s="37" t="s">
        <v>8</v>
      </c>
      <c r="E106" s="8"/>
      <c r="F106" s="8"/>
      <c r="G106" s="8"/>
      <c r="H106" s="8" t="s">
        <v>9</v>
      </c>
      <c r="I106" s="8"/>
      <c r="J106" s="8"/>
      <c r="K106" s="8"/>
      <c r="L106" s="8" t="s">
        <v>10</v>
      </c>
      <c r="M106" s="8"/>
      <c r="N106" s="8"/>
      <c r="O106" s="8"/>
      <c r="P106" s="8" t="s">
        <v>11</v>
      </c>
      <c r="Q106" s="8"/>
      <c r="R106" s="8"/>
      <c r="S106" s="8"/>
      <c r="T106" s="8" t="s">
        <v>12</v>
      </c>
      <c r="U106" s="8"/>
      <c r="V106" s="8"/>
      <c r="W106" s="8"/>
      <c r="X106" s="8" t="s">
        <v>13</v>
      </c>
      <c r="Y106" s="8"/>
      <c r="Z106" s="8"/>
      <c r="AA106" s="8"/>
      <c r="AB106" s="8" t="s">
        <v>14</v>
      </c>
      <c r="AC106" s="8"/>
      <c r="AD106" s="8"/>
      <c r="AE106" s="8"/>
      <c r="AF106" s="8" t="s">
        <v>15</v>
      </c>
      <c r="AG106" s="8"/>
      <c r="AH106" s="8"/>
      <c r="AI106" s="8"/>
      <c r="AJ106" s="8" t="s">
        <v>16</v>
      </c>
      <c r="AK106" s="8"/>
      <c r="AL106" s="8"/>
      <c r="AM106" s="8"/>
      <c r="AN106" s="8" t="s">
        <v>17</v>
      </c>
      <c r="AO106" s="8"/>
      <c r="AP106" s="8"/>
      <c r="AQ106" s="10"/>
    </row>
    <row r="107" spans="1:51" ht="15.75" thickBot="1" x14ac:dyDescent="0.3">
      <c r="A107" s="4" t="s">
        <v>19</v>
      </c>
      <c r="B107" s="5"/>
      <c r="C107" s="6"/>
      <c r="D107" s="7">
        <v>42415</v>
      </c>
      <c r="E107" s="8"/>
      <c r="F107" s="8"/>
      <c r="G107" s="8"/>
      <c r="H107" s="9">
        <v>42437</v>
      </c>
      <c r="I107" s="8"/>
      <c r="J107" s="8"/>
      <c r="K107" s="8"/>
      <c r="L107" s="9">
        <v>42450</v>
      </c>
      <c r="M107" s="8"/>
      <c r="N107" s="8"/>
      <c r="O107" s="8"/>
      <c r="P107" s="9"/>
      <c r="Q107" s="8"/>
      <c r="R107" s="8"/>
      <c r="S107" s="8"/>
      <c r="T107" s="9"/>
      <c r="U107" s="8"/>
      <c r="V107" s="8"/>
      <c r="W107" s="8"/>
      <c r="X107" s="9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10"/>
    </row>
    <row r="108" spans="1:51" ht="15.75" thickBot="1" x14ac:dyDescent="0.3">
      <c r="D108" s="11">
        <v>95</v>
      </c>
      <c r="E108" s="12"/>
      <c r="F108" s="12"/>
      <c r="G108" s="12"/>
      <c r="H108" s="12">
        <v>190</v>
      </c>
      <c r="I108" s="12"/>
      <c r="J108" s="12"/>
      <c r="K108" s="12"/>
      <c r="L108" s="12">
        <v>95</v>
      </c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3"/>
    </row>
    <row r="110" spans="1:51" ht="15.75" thickBot="1" x14ac:dyDescent="0.3"/>
    <row r="111" spans="1:51" ht="15.75" thickBot="1" x14ac:dyDescent="0.3">
      <c r="B111" s="1">
        <v>14</v>
      </c>
      <c r="C111" s="14" t="s">
        <v>3</v>
      </c>
      <c r="D111" s="14"/>
      <c r="E111" s="14"/>
      <c r="F111" s="15" t="s">
        <v>4</v>
      </c>
      <c r="G111" s="15"/>
      <c r="H111" s="15"/>
      <c r="I111" s="15"/>
      <c r="J111" s="15"/>
      <c r="K111" s="15"/>
      <c r="L111" s="15" t="s">
        <v>5</v>
      </c>
      <c r="M111" s="15"/>
      <c r="AI111" s="16" t="s">
        <v>6</v>
      </c>
      <c r="AJ111" s="17"/>
      <c r="AK111" s="17"/>
      <c r="AL111" s="17"/>
      <c r="AN111" s="16" t="s">
        <v>7</v>
      </c>
      <c r="AO111" s="17"/>
      <c r="AP111" s="17"/>
      <c r="AQ111" s="17"/>
      <c r="AT111" s="18" t="s">
        <v>20</v>
      </c>
      <c r="AU111" s="19"/>
      <c r="AV111" s="19"/>
      <c r="AW111" s="19"/>
      <c r="AX111" s="19"/>
      <c r="AY111" s="20"/>
    </row>
    <row r="112" spans="1:51" ht="15.75" thickBot="1" x14ac:dyDescent="0.3">
      <c r="C112" s="38">
        <v>25743</v>
      </c>
      <c r="D112" s="39"/>
      <c r="E112" s="43"/>
      <c r="F112" s="23">
        <v>42480</v>
      </c>
      <c r="G112" s="24"/>
      <c r="H112" s="24"/>
      <c r="I112" s="24"/>
      <c r="J112" s="24"/>
      <c r="K112" s="25"/>
      <c r="L112" s="26">
        <v>4</v>
      </c>
      <c r="M112" s="26"/>
      <c r="AI112" s="27">
        <v>220</v>
      </c>
      <c r="AJ112" s="28"/>
      <c r="AK112" s="28"/>
      <c r="AL112" s="28"/>
      <c r="AN112" s="29">
        <f>AI112-D116-H116-L116-P116-T116-X116-AB116-AF116-AJ116-AN116</f>
        <v>0</v>
      </c>
      <c r="AO112" s="30"/>
      <c r="AP112" s="30"/>
      <c r="AQ112" s="30"/>
      <c r="AT112" s="31" t="s">
        <v>21</v>
      </c>
      <c r="AU112" s="32"/>
      <c r="AV112" s="32"/>
      <c r="AW112" s="32" t="s">
        <v>22</v>
      </c>
      <c r="AX112" s="32"/>
      <c r="AY112" s="33"/>
    </row>
    <row r="113" spans="1:51" ht="15.75" thickBot="1" x14ac:dyDescent="0.3">
      <c r="AT113" s="34">
        <v>8</v>
      </c>
      <c r="AU113" s="35"/>
      <c r="AV113" s="35"/>
      <c r="AW113" s="35">
        <v>11</v>
      </c>
      <c r="AX113" s="35"/>
      <c r="AY113" s="36"/>
    </row>
    <row r="114" spans="1:51" ht="15.75" thickBot="1" x14ac:dyDescent="0.3">
      <c r="D114" s="37" t="s">
        <v>8</v>
      </c>
      <c r="E114" s="8"/>
      <c r="F114" s="8"/>
      <c r="G114" s="8"/>
      <c r="H114" s="8" t="s">
        <v>9</v>
      </c>
      <c r="I114" s="8"/>
      <c r="J114" s="8"/>
      <c r="K114" s="8"/>
      <c r="L114" s="8" t="s">
        <v>10</v>
      </c>
      <c r="M114" s="8"/>
      <c r="N114" s="8"/>
      <c r="O114" s="8"/>
      <c r="P114" s="8" t="s">
        <v>11</v>
      </c>
      <c r="Q114" s="8"/>
      <c r="R114" s="8"/>
      <c r="S114" s="8"/>
      <c r="T114" s="8" t="s">
        <v>12</v>
      </c>
      <c r="U114" s="8"/>
      <c r="V114" s="8"/>
      <c r="W114" s="8"/>
      <c r="X114" s="8" t="s">
        <v>13</v>
      </c>
      <c r="Y114" s="8"/>
      <c r="Z114" s="8"/>
      <c r="AA114" s="8"/>
      <c r="AB114" s="8" t="s">
        <v>14</v>
      </c>
      <c r="AC114" s="8"/>
      <c r="AD114" s="8"/>
      <c r="AE114" s="8"/>
      <c r="AF114" s="8" t="s">
        <v>15</v>
      </c>
      <c r="AG114" s="8"/>
      <c r="AH114" s="8"/>
      <c r="AI114" s="8"/>
      <c r="AJ114" s="8" t="s">
        <v>16</v>
      </c>
      <c r="AK114" s="8"/>
      <c r="AL114" s="8"/>
      <c r="AM114" s="8"/>
      <c r="AN114" s="8" t="s">
        <v>17</v>
      </c>
      <c r="AO114" s="8"/>
      <c r="AP114" s="8"/>
      <c r="AQ114" s="10"/>
    </row>
    <row r="115" spans="1:51" ht="15.75" thickBot="1" x14ac:dyDescent="0.3">
      <c r="A115" s="4" t="s">
        <v>19</v>
      </c>
      <c r="B115" s="5"/>
      <c r="C115" s="6"/>
      <c r="D115" s="7">
        <v>42491</v>
      </c>
      <c r="E115" s="8"/>
      <c r="F115" s="8"/>
      <c r="G115" s="8"/>
      <c r="H115" s="9">
        <v>42514</v>
      </c>
      <c r="I115" s="8"/>
      <c r="J115" s="8"/>
      <c r="K115" s="8"/>
      <c r="L115" s="9"/>
      <c r="M115" s="8"/>
      <c r="N115" s="8"/>
      <c r="O115" s="8"/>
      <c r="P115" s="9"/>
      <c r="Q115" s="8"/>
      <c r="R115" s="8"/>
      <c r="S115" s="8"/>
      <c r="T115" s="9"/>
      <c r="U115" s="8"/>
      <c r="V115" s="8"/>
      <c r="W115" s="8"/>
      <c r="X115" s="9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10"/>
    </row>
    <row r="116" spans="1:51" ht="15.75" thickBot="1" x14ac:dyDescent="0.3">
      <c r="D116" s="11">
        <v>55</v>
      </c>
      <c r="E116" s="12"/>
      <c r="F116" s="12"/>
      <c r="G116" s="12"/>
      <c r="H116" s="12">
        <v>165</v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3"/>
    </row>
    <row r="118" spans="1:51" ht="15.75" thickBot="1" x14ac:dyDescent="0.3"/>
    <row r="119" spans="1:51" ht="15.75" thickBot="1" x14ac:dyDescent="0.3">
      <c r="B119" s="1">
        <v>15</v>
      </c>
      <c r="C119" s="14" t="s">
        <v>3</v>
      </c>
      <c r="D119" s="14"/>
      <c r="E119" s="14"/>
      <c r="F119" s="15" t="s">
        <v>4</v>
      </c>
      <c r="G119" s="15"/>
      <c r="H119" s="15"/>
      <c r="I119" s="15"/>
      <c r="J119" s="15"/>
      <c r="K119" s="15"/>
      <c r="L119" s="15" t="s">
        <v>5</v>
      </c>
      <c r="M119" s="15"/>
      <c r="AI119" s="16" t="s">
        <v>6</v>
      </c>
      <c r="AJ119" s="17"/>
      <c r="AK119" s="17"/>
      <c r="AL119" s="17"/>
      <c r="AN119" s="16" t="s">
        <v>7</v>
      </c>
      <c r="AO119" s="17"/>
      <c r="AP119" s="17"/>
      <c r="AQ119" s="17"/>
      <c r="AT119" s="18" t="s">
        <v>20</v>
      </c>
      <c r="AU119" s="19"/>
      <c r="AV119" s="19"/>
      <c r="AW119" s="19"/>
      <c r="AX119" s="19"/>
      <c r="AY119" s="20"/>
    </row>
    <row r="120" spans="1:51" ht="15.75" thickBot="1" x14ac:dyDescent="0.3">
      <c r="C120" s="38">
        <v>25973</v>
      </c>
      <c r="D120" s="39"/>
      <c r="E120" s="43"/>
      <c r="F120" s="23">
        <v>42491</v>
      </c>
      <c r="G120" s="24"/>
      <c r="H120" s="24"/>
      <c r="I120" s="24"/>
      <c r="J120" s="24"/>
      <c r="K120" s="25"/>
      <c r="L120" s="26">
        <v>4</v>
      </c>
      <c r="M120" s="26"/>
      <c r="AI120" s="27">
        <v>680</v>
      </c>
      <c r="AJ120" s="28"/>
      <c r="AK120" s="28"/>
      <c r="AL120" s="28"/>
      <c r="AN120" s="29">
        <f>AI120-D124-H124-L124-P124-T124-X124-AB124-AF124-AJ124-AN124</f>
        <v>0</v>
      </c>
      <c r="AO120" s="30"/>
      <c r="AP120" s="30"/>
      <c r="AQ120" s="30"/>
      <c r="AT120" s="31" t="s">
        <v>21</v>
      </c>
      <c r="AU120" s="32"/>
      <c r="AV120" s="32"/>
      <c r="AW120" s="32" t="s">
        <v>22</v>
      </c>
      <c r="AX120" s="32"/>
      <c r="AY120" s="33"/>
    </row>
    <row r="121" spans="1:51" ht="15.75" thickBot="1" x14ac:dyDescent="0.3">
      <c r="AT121" s="34">
        <v>9</v>
      </c>
      <c r="AU121" s="35"/>
      <c r="AV121" s="35"/>
      <c r="AW121" s="35">
        <v>12</v>
      </c>
      <c r="AX121" s="35"/>
      <c r="AY121" s="36"/>
    </row>
    <row r="122" spans="1:51" ht="15.75" thickBot="1" x14ac:dyDescent="0.3">
      <c r="D122" s="37" t="s">
        <v>8</v>
      </c>
      <c r="E122" s="8"/>
      <c r="F122" s="8"/>
      <c r="G122" s="8"/>
      <c r="H122" s="8" t="s">
        <v>9</v>
      </c>
      <c r="I122" s="8"/>
      <c r="J122" s="8"/>
      <c r="K122" s="8"/>
      <c r="L122" s="8" t="s">
        <v>10</v>
      </c>
      <c r="M122" s="8"/>
      <c r="N122" s="8"/>
      <c r="O122" s="8"/>
      <c r="P122" s="8" t="s">
        <v>11</v>
      </c>
      <c r="Q122" s="8"/>
      <c r="R122" s="8"/>
      <c r="S122" s="8"/>
      <c r="T122" s="8" t="s">
        <v>12</v>
      </c>
      <c r="U122" s="8"/>
      <c r="V122" s="8"/>
      <c r="W122" s="8"/>
      <c r="X122" s="8" t="s">
        <v>13</v>
      </c>
      <c r="Y122" s="8"/>
      <c r="Z122" s="8"/>
      <c r="AA122" s="8"/>
      <c r="AB122" s="8" t="s">
        <v>14</v>
      </c>
      <c r="AC122" s="8"/>
      <c r="AD122" s="8"/>
      <c r="AE122" s="8"/>
      <c r="AF122" s="8" t="s">
        <v>15</v>
      </c>
      <c r="AG122" s="8"/>
      <c r="AH122" s="8"/>
      <c r="AI122" s="8"/>
      <c r="AJ122" s="8" t="s">
        <v>16</v>
      </c>
      <c r="AK122" s="8"/>
      <c r="AL122" s="8"/>
      <c r="AM122" s="8"/>
      <c r="AN122" s="8" t="s">
        <v>17</v>
      </c>
      <c r="AO122" s="8"/>
      <c r="AP122" s="8"/>
      <c r="AQ122" s="10"/>
    </row>
    <row r="123" spans="1:51" ht="15.75" thickBot="1" x14ac:dyDescent="0.3">
      <c r="A123" s="4" t="s">
        <v>19</v>
      </c>
      <c r="B123" s="5"/>
      <c r="C123" s="6"/>
      <c r="D123" s="7">
        <v>42491</v>
      </c>
      <c r="E123" s="8"/>
      <c r="F123" s="8"/>
      <c r="G123" s="8"/>
      <c r="H123" s="9">
        <v>42529</v>
      </c>
      <c r="I123" s="8"/>
      <c r="J123" s="8"/>
      <c r="K123" s="8"/>
      <c r="L123" s="9">
        <v>42535</v>
      </c>
      <c r="M123" s="8"/>
      <c r="N123" s="8"/>
      <c r="O123" s="8"/>
      <c r="P123" s="9">
        <v>42559</v>
      </c>
      <c r="Q123" s="8"/>
      <c r="R123" s="8"/>
      <c r="S123" s="8"/>
      <c r="T123" s="9"/>
      <c r="U123" s="8"/>
      <c r="V123" s="8"/>
      <c r="W123" s="8"/>
      <c r="X123" s="9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10"/>
    </row>
    <row r="124" spans="1:51" ht="15.75" thickBot="1" x14ac:dyDescent="0.3">
      <c r="D124" s="11">
        <v>170</v>
      </c>
      <c r="E124" s="12"/>
      <c r="F124" s="12"/>
      <c r="G124" s="12"/>
      <c r="H124" s="12">
        <v>170</v>
      </c>
      <c r="I124" s="12"/>
      <c r="J124" s="12"/>
      <c r="K124" s="12"/>
      <c r="L124" s="12">
        <v>170</v>
      </c>
      <c r="M124" s="12"/>
      <c r="N124" s="12"/>
      <c r="O124" s="12"/>
      <c r="P124" s="12">
        <v>170</v>
      </c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3"/>
    </row>
    <row r="126" spans="1:51" ht="15.75" thickBot="1" x14ac:dyDescent="0.3"/>
    <row r="127" spans="1:51" ht="15.75" thickBot="1" x14ac:dyDescent="0.3">
      <c r="B127" s="1">
        <v>16</v>
      </c>
      <c r="C127" s="14" t="s">
        <v>3</v>
      </c>
      <c r="D127" s="14"/>
      <c r="E127" s="14"/>
      <c r="F127" s="15" t="s">
        <v>4</v>
      </c>
      <c r="G127" s="15"/>
      <c r="H127" s="15"/>
      <c r="I127" s="15"/>
      <c r="J127" s="15"/>
      <c r="K127" s="15"/>
      <c r="L127" s="15" t="s">
        <v>5</v>
      </c>
      <c r="M127" s="15"/>
      <c r="AI127" s="16" t="s">
        <v>6</v>
      </c>
      <c r="AJ127" s="17"/>
      <c r="AK127" s="17"/>
      <c r="AL127" s="17"/>
      <c r="AN127" s="16" t="s">
        <v>7</v>
      </c>
      <c r="AO127" s="17"/>
      <c r="AP127" s="17"/>
      <c r="AQ127" s="17"/>
      <c r="AT127" s="18" t="s">
        <v>20</v>
      </c>
      <c r="AU127" s="19"/>
      <c r="AV127" s="19"/>
      <c r="AW127" s="19"/>
      <c r="AX127" s="19"/>
      <c r="AY127" s="20"/>
    </row>
    <row r="128" spans="1:51" ht="15.75" thickBot="1" x14ac:dyDescent="0.3">
      <c r="C128" s="38">
        <v>26083</v>
      </c>
      <c r="D128" s="39"/>
      <c r="E128" s="43"/>
      <c r="F128" s="23">
        <v>42499</v>
      </c>
      <c r="G128" s="24"/>
      <c r="H128" s="24"/>
      <c r="I128" s="24"/>
      <c r="J128" s="24"/>
      <c r="K128" s="25"/>
      <c r="L128" s="26">
        <v>4</v>
      </c>
      <c r="M128" s="26"/>
      <c r="AI128" s="27">
        <v>610</v>
      </c>
      <c r="AJ128" s="28"/>
      <c r="AK128" s="28"/>
      <c r="AL128" s="28"/>
      <c r="AN128" s="29">
        <f>AI128-D132-H132-L132-P132-T132-X132-AB132-AF132-AJ132-AN132</f>
        <v>0</v>
      </c>
      <c r="AO128" s="30"/>
      <c r="AP128" s="30"/>
      <c r="AQ128" s="30"/>
      <c r="AT128" s="31" t="s">
        <v>21</v>
      </c>
      <c r="AU128" s="32"/>
      <c r="AV128" s="32"/>
      <c r="AW128" s="32" t="s">
        <v>22</v>
      </c>
      <c r="AX128" s="32"/>
      <c r="AY128" s="33"/>
    </row>
    <row r="129" spans="1:51" ht="15.75" thickBot="1" x14ac:dyDescent="0.3">
      <c r="AT129" s="34">
        <v>10</v>
      </c>
      <c r="AU129" s="35"/>
      <c r="AV129" s="35"/>
      <c r="AW129" s="35">
        <v>13</v>
      </c>
      <c r="AX129" s="35"/>
      <c r="AY129" s="36"/>
    </row>
    <row r="130" spans="1:51" ht="15.75" thickBot="1" x14ac:dyDescent="0.3">
      <c r="D130" s="37" t="s">
        <v>8</v>
      </c>
      <c r="E130" s="8"/>
      <c r="F130" s="8"/>
      <c r="G130" s="8"/>
      <c r="H130" s="8" t="s">
        <v>9</v>
      </c>
      <c r="I130" s="8"/>
      <c r="J130" s="8"/>
      <c r="K130" s="8"/>
      <c r="L130" s="8" t="s">
        <v>10</v>
      </c>
      <c r="M130" s="8"/>
      <c r="N130" s="8"/>
      <c r="O130" s="8"/>
      <c r="P130" s="8" t="s">
        <v>11</v>
      </c>
      <c r="Q130" s="8"/>
      <c r="R130" s="8"/>
      <c r="S130" s="8"/>
      <c r="T130" s="8" t="s">
        <v>12</v>
      </c>
      <c r="U130" s="8"/>
      <c r="V130" s="8"/>
      <c r="W130" s="8"/>
      <c r="X130" s="8" t="s">
        <v>13</v>
      </c>
      <c r="Y130" s="8"/>
      <c r="Z130" s="8"/>
      <c r="AA130" s="8"/>
      <c r="AB130" s="8" t="s">
        <v>14</v>
      </c>
      <c r="AC130" s="8"/>
      <c r="AD130" s="8"/>
      <c r="AE130" s="8"/>
      <c r="AF130" s="8" t="s">
        <v>15</v>
      </c>
      <c r="AG130" s="8"/>
      <c r="AH130" s="8"/>
      <c r="AI130" s="8"/>
      <c r="AJ130" s="8" t="s">
        <v>16</v>
      </c>
      <c r="AK130" s="8"/>
      <c r="AL130" s="8"/>
      <c r="AM130" s="8"/>
      <c r="AN130" s="8" t="s">
        <v>17</v>
      </c>
      <c r="AO130" s="8"/>
      <c r="AP130" s="8"/>
      <c r="AQ130" s="10"/>
    </row>
    <row r="131" spans="1:51" ht="15.75" thickBot="1" x14ac:dyDescent="0.3">
      <c r="A131" s="4" t="s">
        <v>19</v>
      </c>
      <c r="B131" s="5"/>
      <c r="C131" s="6"/>
      <c r="D131" s="7">
        <v>42499</v>
      </c>
      <c r="E131" s="8"/>
      <c r="F131" s="8"/>
      <c r="G131" s="8"/>
      <c r="H131" s="9">
        <v>42529</v>
      </c>
      <c r="I131" s="8"/>
      <c r="J131" s="8"/>
      <c r="K131" s="8"/>
      <c r="L131" s="9">
        <v>42559</v>
      </c>
      <c r="M131" s="8"/>
      <c r="N131" s="8"/>
      <c r="O131" s="8"/>
      <c r="P131" s="9">
        <v>42566</v>
      </c>
      <c r="Q131" s="8"/>
      <c r="R131" s="8"/>
      <c r="S131" s="8"/>
      <c r="T131" s="9"/>
      <c r="U131" s="8"/>
      <c r="V131" s="8"/>
      <c r="W131" s="8"/>
      <c r="X131" s="9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10"/>
    </row>
    <row r="132" spans="1:51" ht="15.75" thickBot="1" x14ac:dyDescent="0.3">
      <c r="D132" s="11">
        <v>153</v>
      </c>
      <c r="E132" s="12"/>
      <c r="F132" s="12"/>
      <c r="G132" s="12"/>
      <c r="H132" s="12">
        <v>153</v>
      </c>
      <c r="I132" s="12"/>
      <c r="J132" s="12"/>
      <c r="K132" s="12"/>
      <c r="L132" s="12">
        <v>153</v>
      </c>
      <c r="M132" s="12"/>
      <c r="N132" s="12"/>
      <c r="O132" s="12"/>
      <c r="P132" s="12">
        <v>151</v>
      </c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3"/>
    </row>
    <row r="134" spans="1:51" ht="15.75" thickBot="1" x14ac:dyDescent="0.3"/>
    <row r="135" spans="1:51" ht="15.75" thickBot="1" x14ac:dyDescent="0.3">
      <c r="B135" s="1">
        <v>17</v>
      </c>
      <c r="C135" s="14" t="s">
        <v>3</v>
      </c>
      <c r="D135" s="14"/>
      <c r="E135" s="14"/>
      <c r="F135" s="15" t="s">
        <v>4</v>
      </c>
      <c r="G135" s="15"/>
      <c r="H135" s="15"/>
      <c r="I135" s="15"/>
      <c r="J135" s="15"/>
      <c r="K135" s="15"/>
      <c r="L135" s="15" t="s">
        <v>5</v>
      </c>
      <c r="M135" s="15"/>
      <c r="AI135" s="16" t="s">
        <v>6</v>
      </c>
      <c r="AJ135" s="17"/>
      <c r="AK135" s="17"/>
      <c r="AL135" s="17"/>
      <c r="AN135" s="16" t="s">
        <v>7</v>
      </c>
      <c r="AO135" s="17"/>
      <c r="AP135" s="17"/>
      <c r="AQ135" s="17"/>
      <c r="AT135" s="18" t="s">
        <v>20</v>
      </c>
      <c r="AU135" s="19"/>
      <c r="AV135" s="19"/>
      <c r="AW135" s="19"/>
      <c r="AX135" s="19"/>
      <c r="AY135" s="20"/>
    </row>
    <row r="136" spans="1:51" ht="15.75" thickBot="1" x14ac:dyDescent="0.3">
      <c r="C136" s="38">
        <v>26296</v>
      </c>
      <c r="D136" s="39"/>
      <c r="E136" s="43"/>
      <c r="F136" s="23">
        <v>42514</v>
      </c>
      <c r="G136" s="24"/>
      <c r="H136" s="24"/>
      <c r="I136" s="24"/>
      <c r="J136" s="24"/>
      <c r="K136" s="25"/>
      <c r="L136" s="26">
        <v>4</v>
      </c>
      <c r="M136" s="26"/>
      <c r="AI136" s="27">
        <v>470</v>
      </c>
      <c r="AJ136" s="28"/>
      <c r="AK136" s="28"/>
      <c r="AL136" s="28"/>
      <c r="AN136" s="29">
        <f>AI136-D140-H140-L140-P140-T140-X140-AB140-AF140-AJ140-AN140</f>
        <v>0</v>
      </c>
      <c r="AO136" s="30"/>
      <c r="AP136" s="30"/>
      <c r="AQ136" s="30"/>
      <c r="AT136" s="31" t="s">
        <v>21</v>
      </c>
      <c r="AU136" s="32"/>
      <c r="AV136" s="32"/>
      <c r="AW136" s="32" t="s">
        <v>22</v>
      </c>
      <c r="AX136" s="32"/>
      <c r="AY136" s="33"/>
    </row>
    <row r="137" spans="1:51" ht="15.75" thickBot="1" x14ac:dyDescent="0.3">
      <c r="AT137" s="34">
        <v>11</v>
      </c>
      <c r="AU137" s="35"/>
      <c r="AV137" s="35"/>
      <c r="AW137" s="35">
        <v>14</v>
      </c>
      <c r="AX137" s="35"/>
      <c r="AY137" s="36"/>
    </row>
    <row r="138" spans="1:51" ht="15.75" thickBot="1" x14ac:dyDescent="0.3">
      <c r="D138" s="37" t="s">
        <v>8</v>
      </c>
      <c r="E138" s="8"/>
      <c r="F138" s="8"/>
      <c r="G138" s="8"/>
      <c r="H138" s="8" t="s">
        <v>9</v>
      </c>
      <c r="I138" s="8"/>
      <c r="J138" s="8"/>
      <c r="K138" s="8"/>
      <c r="L138" s="8" t="s">
        <v>10</v>
      </c>
      <c r="M138" s="8"/>
      <c r="N138" s="8"/>
      <c r="O138" s="8"/>
      <c r="P138" s="8" t="s">
        <v>11</v>
      </c>
      <c r="Q138" s="8"/>
      <c r="R138" s="8"/>
      <c r="S138" s="8"/>
      <c r="T138" s="8" t="s">
        <v>12</v>
      </c>
      <c r="U138" s="8"/>
      <c r="V138" s="8"/>
      <c r="W138" s="8"/>
      <c r="X138" s="8" t="s">
        <v>13</v>
      </c>
      <c r="Y138" s="8"/>
      <c r="Z138" s="8"/>
      <c r="AA138" s="8"/>
      <c r="AB138" s="8" t="s">
        <v>14</v>
      </c>
      <c r="AC138" s="8"/>
      <c r="AD138" s="8"/>
      <c r="AE138" s="8"/>
      <c r="AF138" s="8" t="s">
        <v>15</v>
      </c>
      <c r="AG138" s="8"/>
      <c r="AH138" s="8"/>
      <c r="AI138" s="8"/>
      <c r="AJ138" s="8" t="s">
        <v>16</v>
      </c>
      <c r="AK138" s="8"/>
      <c r="AL138" s="8"/>
      <c r="AM138" s="8"/>
      <c r="AN138" s="8" t="s">
        <v>17</v>
      </c>
      <c r="AO138" s="8"/>
      <c r="AP138" s="8"/>
      <c r="AQ138" s="10"/>
    </row>
    <row r="139" spans="1:51" ht="15.75" thickBot="1" x14ac:dyDescent="0.3">
      <c r="A139" s="4" t="s">
        <v>19</v>
      </c>
      <c r="B139" s="5"/>
      <c r="C139" s="6"/>
      <c r="D139" s="7">
        <v>42535</v>
      </c>
      <c r="E139" s="8"/>
      <c r="F139" s="8"/>
      <c r="G139" s="8"/>
      <c r="H139" s="9">
        <v>42559</v>
      </c>
      <c r="I139" s="8"/>
      <c r="J139" s="8"/>
      <c r="K139" s="8"/>
      <c r="L139" s="9">
        <v>42566</v>
      </c>
      <c r="M139" s="8"/>
      <c r="N139" s="8"/>
      <c r="O139" s="8"/>
      <c r="P139" s="9">
        <v>42588</v>
      </c>
      <c r="Q139" s="8"/>
      <c r="R139" s="8"/>
      <c r="S139" s="8"/>
      <c r="T139" s="9"/>
      <c r="U139" s="8"/>
      <c r="V139" s="8"/>
      <c r="W139" s="8"/>
      <c r="X139" s="9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10"/>
    </row>
    <row r="140" spans="1:51" ht="15.75" thickBot="1" x14ac:dyDescent="0.3">
      <c r="D140" s="11">
        <v>118</v>
      </c>
      <c r="E140" s="12"/>
      <c r="F140" s="12"/>
      <c r="G140" s="12"/>
      <c r="H140" s="12">
        <v>118</v>
      </c>
      <c r="I140" s="12"/>
      <c r="J140" s="12"/>
      <c r="K140" s="12"/>
      <c r="L140" s="12">
        <v>118</v>
      </c>
      <c r="M140" s="12"/>
      <c r="N140" s="12"/>
      <c r="O140" s="12"/>
      <c r="P140" s="12">
        <v>116</v>
      </c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3"/>
    </row>
    <row r="142" spans="1:51" ht="15.75" thickBot="1" x14ac:dyDescent="0.3"/>
    <row r="143" spans="1:51" ht="15.75" thickBot="1" x14ac:dyDescent="0.3">
      <c r="B143" s="1">
        <v>18</v>
      </c>
      <c r="C143" s="14" t="s">
        <v>3</v>
      </c>
      <c r="D143" s="14"/>
      <c r="E143" s="14"/>
      <c r="F143" s="15" t="s">
        <v>4</v>
      </c>
      <c r="G143" s="15"/>
      <c r="H143" s="15"/>
      <c r="I143" s="15"/>
      <c r="J143" s="15"/>
      <c r="K143" s="15"/>
      <c r="L143" s="15" t="s">
        <v>5</v>
      </c>
      <c r="M143" s="15"/>
      <c r="AI143" s="16" t="s">
        <v>6</v>
      </c>
      <c r="AJ143" s="17"/>
      <c r="AK143" s="17"/>
      <c r="AL143" s="17"/>
      <c r="AN143" s="16" t="s">
        <v>7</v>
      </c>
      <c r="AO143" s="17"/>
      <c r="AP143" s="17"/>
      <c r="AQ143" s="17"/>
      <c r="AT143" s="18" t="s">
        <v>20</v>
      </c>
      <c r="AU143" s="19"/>
      <c r="AV143" s="19"/>
      <c r="AW143" s="19"/>
      <c r="AX143" s="19"/>
      <c r="AY143" s="20"/>
    </row>
    <row r="144" spans="1:51" ht="15.75" thickBot="1" x14ac:dyDescent="0.3">
      <c r="C144" s="38">
        <v>26647</v>
      </c>
      <c r="D144" s="39"/>
      <c r="E144" s="43"/>
      <c r="F144" s="23">
        <v>42545</v>
      </c>
      <c r="G144" s="24"/>
      <c r="H144" s="24"/>
      <c r="I144" s="24"/>
      <c r="J144" s="24"/>
      <c r="K144" s="25"/>
      <c r="L144" s="26">
        <v>5</v>
      </c>
      <c r="M144" s="26"/>
      <c r="AI144" s="27">
        <v>840</v>
      </c>
      <c r="AJ144" s="28"/>
      <c r="AK144" s="28"/>
      <c r="AL144" s="28"/>
      <c r="AN144" s="29">
        <f>AI144-D148-H148-L148-P148-T148-X148-AB148-AF148-AJ148-AN148</f>
        <v>0</v>
      </c>
      <c r="AO144" s="30"/>
      <c r="AP144" s="30"/>
      <c r="AQ144" s="30"/>
      <c r="AT144" s="31" t="s">
        <v>21</v>
      </c>
      <c r="AU144" s="32"/>
      <c r="AV144" s="32"/>
      <c r="AW144" s="32" t="s">
        <v>22</v>
      </c>
      <c r="AX144" s="32"/>
      <c r="AY144" s="33"/>
    </row>
    <row r="145" spans="1:51" ht="15.75" thickBot="1" x14ac:dyDescent="0.3">
      <c r="AT145" s="34">
        <v>13</v>
      </c>
      <c r="AU145" s="35"/>
      <c r="AV145" s="35"/>
      <c r="AW145" s="35">
        <v>17</v>
      </c>
      <c r="AX145" s="35"/>
      <c r="AY145" s="36"/>
    </row>
    <row r="146" spans="1:51" ht="15.75" thickBot="1" x14ac:dyDescent="0.3">
      <c r="D146" s="37" t="s">
        <v>8</v>
      </c>
      <c r="E146" s="8"/>
      <c r="F146" s="8"/>
      <c r="G146" s="8"/>
      <c r="H146" s="8" t="s">
        <v>9</v>
      </c>
      <c r="I146" s="8"/>
      <c r="J146" s="8"/>
      <c r="K146" s="8"/>
      <c r="L146" s="8" t="s">
        <v>10</v>
      </c>
      <c r="M146" s="8"/>
      <c r="N146" s="8"/>
      <c r="O146" s="8"/>
      <c r="P146" s="8" t="s">
        <v>11</v>
      </c>
      <c r="Q146" s="8"/>
      <c r="R146" s="8"/>
      <c r="S146" s="8"/>
      <c r="T146" s="8" t="s">
        <v>12</v>
      </c>
      <c r="U146" s="8"/>
      <c r="V146" s="8"/>
      <c r="W146" s="8"/>
      <c r="X146" s="8" t="s">
        <v>13</v>
      </c>
      <c r="Y146" s="8"/>
      <c r="Z146" s="8"/>
      <c r="AA146" s="8"/>
      <c r="AB146" s="8" t="s">
        <v>14</v>
      </c>
      <c r="AC146" s="8"/>
      <c r="AD146" s="8"/>
      <c r="AE146" s="8"/>
      <c r="AF146" s="8" t="s">
        <v>15</v>
      </c>
      <c r="AG146" s="8"/>
      <c r="AH146" s="8"/>
      <c r="AI146" s="8"/>
      <c r="AJ146" s="8" t="s">
        <v>16</v>
      </c>
      <c r="AK146" s="8"/>
      <c r="AL146" s="8"/>
      <c r="AM146" s="8"/>
      <c r="AN146" s="8" t="s">
        <v>17</v>
      </c>
      <c r="AO146" s="8"/>
      <c r="AP146" s="8"/>
      <c r="AQ146" s="10"/>
    </row>
    <row r="147" spans="1:51" ht="15.75" thickBot="1" x14ac:dyDescent="0.3">
      <c r="A147" s="4" t="s">
        <v>19</v>
      </c>
      <c r="B147" s="5"/>
      <c r="C147" s="6"/>
      <c r="D147" s="7">
        <v>42559</v>
      </c>
      <c r="E147" s="8"/>
      <c r="F147" s="8"/>
      <c r="G147" s="8"/>
      <c r="H147" s="9">
        <v>42588</v>
      </c>
      <c r="I147" s="8"/>
      <c r="J147" s="8"/>
      <c r="K147" s="8"/>
      <c r="L147" s="9">
        <v>42597</v>
      </c>
      <c r="M147" s="8"/>
      <c r="N147" s="8"/>
      <c r="O147" s="8"/>
      <c r="P147" s="9">
        <v>42621</v>
      </c>
      <c r="Q147" s="8"/>
      <c r="R147" s="8"/>
      <c r="S147" s="8"/>
      <c r="T147" s="9">
        <v>42629</v>
      </c>
      <c r="U147" s="8"/>
      <c r="V147" s="8"/>
      <c r="W147" s="8"/>
      <c r="X147" s="9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10"/>
    </row>
    <row r="148" spans="1:51" ht="15.75" thickBot="1" x14ac:dyDescent="0.3">
      <c r="D148" s="11">
        <v>168</v>
      </c>
      <c r="E148" s="12"/>
      <c r="F148" s="12"/>
      <c r="G148" s="12"/>
      <c r="H148" s="12">
        <v>168</v>
      </c>
      <c r="I148" s="12"/>
      <c r="J148" s="12"/>
      <c r="K148" s="12"/>
      <c r="L148" s="12">
        <v>168</v>
      </c>
      <c r="M148" s="12"/>
      <c r="N148" s="12"/>
      <c r="O148" s="12"/>
      <c r="P148" s="12">
        <v>168</v>
      </c>
      <c r="Q148" s="12"/>
      <c r="R148" s="12"/>
      <c r="S148" s="12"/>
      <c r="T148" s="12">
        <v>168</v>
      </c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3"/>
    </row>
    <row r="150" spans="1:51" ht="15.75" thickBot="1" x14ac:dyDescent="0.3"/>
    <row r="151" spans="1:51" ht="15.75" thickBot="1" x14ac:dyDescent="0.3">
      <c r="B151" s="1">
        <v>19</v>
      </c>
      <c r="C151" s="14" t="s">
        <v>3</v>
      </c>
      <c r="D151" s="14"/>
      <c r="E151" s="14"/>
      <c r="F151" s="15" t="s">
        <v>4</v>
      </c>
      <c r="G151" s="15"/>
      <c r="H151" s="15"/>
      <c r="I151" s="15"/>
      <c r="J151" s="15"/>
      <c r="K151" s="15"/>
      <c r="L151" s="15" t="s">
        <v>5</v>
      </c>
      <c r="M151" s="15"/>
      <c r="AI151" s="16" t="s">
        <v>6</v>
      </c>
      <c r="AJ151" s="17"/>
      <c r="AK151" s="17"/>
      <c r="AL151" s="17"/>
      <c r="AN151" s="16" t="s">
        <v>7</v>
      </c>
      <c r="AO151" s="17"/>
      <c r="AP151" s="17"/>
      <c r="AQ151" s="17"/>
      <c r="AT151" s="18" t="s">
        <v>20</v>
      </c>
      <c r="AU151" s="19"/>
      <c r="AV151" s="19"/>
      <c r="AW151" s="19"/>
      <c r="AX151" s="19"/>
      <c r="AY151" s="20"/>
    </row>
    <row r="152" spans="1:51" ht="15.75" thickBot="1" x14ac:dyDescent="0.3">
      <c r="C152" s="38">
        <v>27051</v>
      </c>
      <c r="D152" s="39"/>
      <c r="E152" s="43"/>
      <c r="F152" s="23">
        <v>42562</v>
      </c>
      <c r="G152" s="24"/>
      <c r="H152" s="24"/>
      <c r="I152" s="24"/>
      <c r="J152" s="24"/>
      <c r="K152" s="25"/>
      <c r="L152" s="26">
        <v>4</v>
      </c>
      <c r="M152" s="26"/>
      <c r="AI152" s="27">
        <v>330</v>
      </c>
      <c r="AJ152" s="28"/>
      <c r="AK152" s="28"/>
      <c r="AL152" s="28"/>
      <c r="AN152" s="29">
        <f>AI152-D156-H156-L156-P156-T156-X156-AB156-AF156-AJ156-AN156</f>
        <v>0</v>
      </c>
      <c r="AO152" s="30"/>
      <c r="AP152" s="30"/>
      <c r="AQ152" s="30"/>
      <c r="AT152" s="31" t="s">
        <v>21</v>
      </c>
      <c r="AU152" s="32"/>
      <c r="AV152" s="32"/>
      <c r="AW152" s="32" t="s">
        <v>22</v>
      </c>
      <c r="AX152" s="32"/>
      <c r="AY152" s="33"/>
    </row>
    <row r="153" spans="1:51" ht="15.75" thickBot="1" x14ac:dyDescent="0.3">
      <c r="AT153" s="34">
        <v>14</v>
      </c>
      <c r="AU153" s="35"/>
      <c r="AV153" s="35"/>
      <c r="AW153" s="35">
        <v>17</v>
      </c>
      <c r="AX153" s="35"/>
      <c r="AY153" s="36"/>
    </row>
    <row r="154" spans="1:51" ht="15.75" thickBot="1" x14ac:dyDescent="0.3">
      <c r="D154" s="37" t="s">
        <v>8</v>
      </c>
      <c r="E154" s="8"/>
      <c r="F154" s="8"/>
      <c r="G154" s="8"/>
      <c r="H154" s="8" t="s">
        <v>9</v>
      </c>
      <c r="I154" s="8"/>
      <c r="J154" s="8"/>
      <c r="K154" s="8"/>
      <c r="L154" s="8" t="s">
        <v>10</v>
      </c>
      <c r="M154" s="8"/>
      <c r="N154" s="8"/>
      <c r="O154" s="8"/>
      <c r="P154" s="8" t="s">
        <v>11</v>
      </c>
      <c r="Q154" s="8"/>
      <c r="R154" s="8"/>
      <c r="S154" s="8"/>
      <c r="T154" s="8" t="s">
        <v>12</v>
      </c>
      <c r="U154" s="8"/>
      <c r="V154" s="8"/>
      <c r="W154" s="8"/>
      <c r="X154" s="8" t="s">
        <v>13</v>
      </c>
      <c r="Y154" s="8"/>
      <c r="Z154" s="8"/>
      <c r="AA154" s="8"/>
      <c r="AB154" s="8" t="s">
        <v>14</v>
      </c>
      <c r="AC154" s="8"/>
      <c r="AD154" s="8"/>
      <c r="AE154" s="8"/>
      <c r="AF154" s="8" t="s">
        <v>15</v>
      </c>
      <c r="AG154" s="8"/>
      <c r="AH154" s="8"/>
      <c r="AI154" s="8"/>
      <c r="AJ154" s="8" t="s">
        <v>16</v>
      </c>
      <c r="AK154" s="8"/>
      <c r="AL154" s="8"/>
      <c r="AM154" s="8"/>
      <c r="AN154" s="8" t="s">
        <v>17</v>
      </c>
      <c r="AO154" s="8"/>
      <c r="AP154" s="8"/>
      <c r="AQ154" s="10"/>
    </row>
    <row r="155" spans="1:51" ht="15.75" thickBot="1" x14ac:dyDescent="0.3">
      <c r="A155" s="4" t="s">
        <v>19</v>
      </c>
      <c r="B155" s="5"/>
      <c r="C155" s="6"/>
      <c r="D155" s="7">
        <v>42588</v>
      </c>
      <c r="E155" s="8"/>
      <c r="F155" s="8"/>
      <c r="G155" s="8"/>
      <c r="H155" s="9">
        <v>42597</v>
      </c>
      <c r="I155" s="8"/>
      <c r="J155" s="8"/>
      <c r="K155" s="8"/>
      <c r="L155" s="9">
        <v>42621</v>
      </c>
      <c r="M155" s="8"/>
      <c r="N155" s="8"/>
      <c r="O155" s="8"/>
      <c r="P155" s="9">
        <v>42629</v>
      </c>
      <c r="Q155" s="8"/>
      <c r="R155" s="8"/>
      <c r="S155" s="8"/>
      <c r="T155" s="9"/>
      <c r="U155" s="8"/>
      <c r="V155" s="8"/>
      <c r="W155" s="8"/>
      <c r="X155" s="9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10"/>
    </row>
    <row r="156" spans="1:51" ht="15.75" thickBot="1" x14ac:dyDescent="0.3">
      <c r="D156" s="11">
        <v>83</v>
      </c>
      <c r="E156" s="12"/>
      <c r="F156" s="12"/>
      <c r="G156" s="12"/>
      <c r="H156" s="12">
        <v>83</v>
      </c>
      <c r="I156" s="12"/>
      <c r="J156" s="12"/>
      <c r="K156" s="12"/>
      <c r="L156" s="12">
        <v>83</v>
      </c>
      <c r="M156" s="12"/>
      <c r="N156" s="12"/>
      <c r="O156" s="12"/>
      <c r="P156" s="12">
        <v>81</v>
      </c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3"/>
    </row>
    <row r="158" spans="1:51" ht="15.75" thickBot="1" x14ac:dyDescent="0.3"/>
    <row r="159" spans="1:51" ht="15.75" thickBot="1" x14ac:dyDescent="0.3">
      <c r="B159" s="1">
        <v>20</v>
      </c>
      <c r="C159" s="14" t="s">
        <v>3</v>
      </c>
      <c r="D159" s="14"/>
      <c r="E159" s="14"/>
      <c r="F159" s="15" t="s">
        <v>4</v>
      </c>
      <c r="G159" s="15"/>
      <c r="H159" s="15"/>
      <c r="I159" s="15"/>
      <c r="J159" s="15"/>
      <c r="K159" s="15"/>
      <c r="L159" s="15" t="s">
        <v>5</v>
      </c>
      <c r="M159" s="15"/>
      <c r="AI159" s="16" t="s">
        <v>6</v>
      </c>
      <c r="AJ159" s="17"/>
      <c r="AK159" s="17"/>
      <c r="AL159" s="17"/>
      <c r="AN159" s="16" t="s">
        <v>7</v>
      </c>
      <c r="AO159" s="17"/>
      <c r="AP159" s="17"/>
      <c r="AQ159" s="17"/>
      <c r="AT159" s="18" t="s">
        <v>20</v>
      </c>
      <c r="AU159" s="19"/>
      <c r="AV159" s="19"/>
      <c r="AW159" s="19"/>
      <c r="AX159" s="19"/>
      <c r="AY159" s="20"/>
    </row>
    <row r="160" spans="1:51" ht="15.75" thickBot="1" x14ac:dyDescent="0.3">
      <c r="C160" s="38">
        <v>28689</v>
      </c>
      <c r="D160" s="39"/>
      <c r="E160" s="43"/>
      <c r="F160" s="23">
        <v>42662</v>
      </c>
      <c r="G160" s="24"/>
      <c r="H160" s="24"/>
      <c r="I160" s="24"/>
      <c r="J160" s="24"/>
      <c r="K160" s="25"/>
      <c r="L160" s="26">
        <v>4</v>
      </c>
      <c r="M160" s="26"/>
      <c r="AI160" s="27">
        <v>770</v>
      </c>
      <c r="AJ160" s="28"/>
      <c r="AK160" s="28"/>
      <c r="AL160" s="28"/>
      <c r="AN160" s="29">
        <f>AI160-D164-H164-L164-P164-T164-X164-AB164-AF164-AJ164-AN164</f>
        <v>0</v>
      </c>
      <c r="AO160" s="30"/>
      <c r="AP160" s="30"/>
      <c r="AQ160" s="30"/>
      <c r="AT160" s="31" t="s">
        <v>21</v>
      </c>
      <c r="AU160" s="32"/>
      <c r="AV160" s="32"/>
      <c r="AW160" s="32" t="s">
        <v>22</v>
      </c>
      <c r="AX160" s="32"/>
      <c r="AY160" s="33"/>
    </row>
    <row r="161" spans="1:51" ht="15.75" thickBot="1" x14ac:dyDescent="0.3">
      <c r="AT161" s="34">
        <v>20</v>
      </c>
      <c r="AU161" s="35"/>
      <c r="AV161" s="35"/>
      <c r="AW161" s="35">
        <v>23</v>
      </c>
      <c r="AX161" s="35"/>
      <c r="AY161" s="36"/>
    </row>
    <row r="162" spans="1:51" ht="15.75" thickBot="1" x14ac:dyDescent="0.3">
      <c r="D162" s="37" t="s">
        <v>8</v>
      </c>
      <c r="E162" s="8"/>
      <c r="F162" s="8"/>
      <c r="G162" s="8"/>
      <c r="H162" s="8" t="s">
        <v>9</v>
      </c>
      <c r="I162" s="8"/>
      <c r="J162" s="8"/>
      <c r="K162" s="8"/>
      <c r="L162" s="8" t="s">
        <v>10</v>
      </c>
      <c r="M162" s="8"/>
      <c r="N162" s="8"/>
      <c r="O162" s="8"/>
      <c r="P162" s="8" t="s">
        <v>11</v>
      </c>
      <c r="Q162" s="8"/>
      <c r="R162" s="8"/>
      <c r="S162" s="8"/>
      <c r="T162" s="8" t="s">
        <v>12</v>
      </c>
      <c r="U162" s="8"/>
      <c r="V162" s="8"/>
      <c r="W162" s="8"/>
      <c r="X162" s="8" t="s">
        <v>13</v>
      </c>
      <c r="Y162" s="8"/>
      <c r="Z162" s="8"/>
      <c r="AA162" s="8"/>
      <c r="AB162" s="8" t="s">
        <v>14</v>
      </c>
      <c r="AC162" s="8"/>
      <c r="AD162" s="8"/>
      <c r="AE162" s="8"/>
      <c r="AF162" s="8" t="s">
        <v>15</v>
      </c>
      <c r="AG162" s="8"/>
      <c r="AH162" s="8"/>
      <c r="AI162" s="8"/>
      <c r="AJ162" s="8" t="s">
        <v>16</v>
      </c>
      <c r="AK162" s="8"/>
      <c r="AL162" s="8"/>
      <c r="AM162" s="8"/>
      <c r="AN162" s="8" t="s">
        <v>17</v>
      </c>
      <c r="AO162" s="8"/>
      <c r="AP162" s="8"/>
      <c r="AQ162" s="10"/>
    </row>
    <row r="163" spans="1:51" ht="15.75" thickBot="1" x14ac:dyDescent="0.3">
      <c r="A163" s="4" t="s">
        <v>19</v>
      </c>
      <c r="B163" s="5"/>
      <c r="C163" s="6"/>
      <c r="D163" s="7">
        <v>42680</v>
      </c>
      <c r="E163" s="8"/>
      <c r="F163" s="8"/>
      <c r="G163" s="8"/>
      <c r="H163" s="9">
        <v>42690</v>
      </c>
      <c r="I163" s="8"/>
      <c r="J163" s="8"/>
      <c r="K163" s="8"/>
      <c r="L163" s="9">
        <v>42713</v>
      </c>
      <c r="M163" s="8"/>
      <c r="N163" s="8"/>
      <c r="O163" s="8"/>
      <c r="P163" s="9">
        <v>42720</v>
      </c>
      <c r="Q163" s="8"/>
      <c r="R163" s="8"/>
      <c r="S163" s="8"/>
      <c r="T163" s="9"/>
      <c r="U163" s="8"/>
      <c r="V163" s="8"/>
      <c r="W163" s="8"/>
      <c r="X163" s="9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10"/>
    </row>
    <row r="164" spans="1:51" ht="15.75" thickBot="1" x14ac:dyDescent="0.3">
      <c r="D164" s="11">
        <v>193</v>
      </c>
      <c r="E164" s="12"/>
      <c r="F164" s="12"/>
      <c r="G164" s="12"/>
      <c r="H164" s="12">
        <v>193</v>
      </c>
      <c r="I164" s="12"/>
      <c r="J164" s="12"/>
      <c r="K164" s="12"/>
      <c r="L164" s="12">
        <v>193</v>
      </c>
      <c r="M164" s="12"/>
      <c r="N164" s="12"/>
      <c r="O164" s="12"/>
      <c r="P164" s="12">
        <v>191</v>
      </c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3"/>
    </row>
    <row r="166" spans="1:51" ht="15.75" thickBot="1" x14ac:dyDescent="0.3"/>
    <row r="167" spans="1:51" ht="15.75" thickBot="1" x14ac:dyDescent="0.3">
      <c r="B167" s="1">
        <v>21</v>
      </c>
      <c r="C167" s="14" t="s">
        <v>3</v>
      </c>
      <c r="D167" s="14"/>
      <c r="E167" s="14"/>
      <c r="F167" s="15" t="s">
        <v>4</v>
      </c>
      <c r="G167" s="15"/>
      <c r="H167" s="15"/>
      <c r="I167" s="15"/>
      <c r="J167" s="15"/>
      <c r="K167" s="15"/>
      <c r="L167" s="15" t="s">
        <v>5</v>
      </c>
      <c r="M167" s="15"/>
      <c r="AI167" s="16" t="s">
        <v>6</v>
      </c>
      <c r="AJ167" s="17"/>
      <c r="AK167" s="17"/>
      <c r="AL167" s="17"/>
      <c r="AN167" s="16" t="s">
        <v>7</v>
      </c>
      <c r="AO167" s="17"/>
      <c r="AP167" s="17"/>
      <c r="AQ167" s="17"/>
      <c r="AT167" s="18" t="s">
        <v>20</v>
      </c>
      <c r="AU167" s="19"/>
      <c r="AV167" s="19"/>
      <c r="AW167" s="19"/>
      <c r="AX167" s="19"/>
      <c r="AY167" s="20"/>
    </row>
    <row r="168" spans="1:51" ht="15.75" thickBot="1" x14ac:dyDescent="0.3">
      <c r="C168" s="38">
        <v>28859</v>
      </c>
      <c r="D168" s="39"/>
      <c r="E168" s="43"/>
      <c r="F168" s="23">
        <v>42680</v>
      </c>
      <c r="G168" s="24"/>
      <c r="H168" s="24"/>
      <c r="I168" s="24"/>
      <c r="J168" s="24"/>
      <c r="K168" s="25"/>
      <c r="L168" s="26">
        <v>2</v>
      </c>
      <c r="M168" s="26"/>
      <c r="AI168" s="27">
        <v>170</v>
      </c>
      <c r="AJ168" s="28"/>
      <c r="AK168" s="28"/>
      <c r="AL168" s="28"/>
      <c r="AN168" s="29">
        <f>AI168-D172-H172-L172-P172-T172-X172-AB172-AF172-AJ172-AN172</f>
        <v>0</v>
      </c>
      <c r="AO168" s="30"/>
      <c r="AP168" s="30"/>
      <c r="AQ168" s="30"/>
      <c r="AT168" s="31" t="s">
        <v>21</v>
      </c>
      <c r="AU168" s="32"/>
      <c r="AV168" s="32"/>
      <c r="AW168" s="32" t="s">
        <v>22</v>
      </c>
      <c r="AX168" s="32"/>
      <c r="AY168" s="33"/>
    </row>
    <row r="169" spans="1:51" ht="15.75" thickBot="1" x14ac:dyDescent="0.3">
      <c r="AT169" s="34">
        <v>21</v>
      </c>
      <c r="AU169" s="35"/>
      <c r="AV169" s="35"/>
      <c r="AW169" s="35">
        <v>24</v>
      </c>
      <c r="AX169" s="35"/>
      <c r="AY169" s="36"/>
    </row>
    <row r="170" spans="1:51" ht="15.75" thickBot="1" x14ac:dyDescent="0.3">
      <c r="D170" s="37" t="s">
        <v>8</v>
      </c>
      <c r="E170" s="8"/>
      <c r="F170" s="8"/>
      <c r="G170" s="8"/>
      <c r="H170" s="8" t="s">
        <v>9</v>
      </c>
      <c r="I170" s="8"/>
      <c r="J170" s="8"/>
      <c r="K170" s="8"/>
      <c r="L170" s="8" t="s">
        <v>10</v>
      </c>
      <c r="M170" s="8"/>
      <c r="N170" s="8"/>
      <c r="O170" s="8"/>
      <c r="P170" s="8" t="s">
        <v>11</v>
      </c>
      <c r="Q170" s="8"/>
      <c r="R170" s="8"/>
      <c r="S170" s="8"/>
      <c r="T170" s="8" t="s">
        <v>12</v>
      </c>
      <c r="U170" s="8"/>
      <c r="V170" s="8"/>
      <c r="W170" s="8"/>
      <c r="X170" s="8" t="s">
        <v>13</v>
      </c>
      <c r="Y170" s="8"/>
      <c r="Z170" s="8"/>
      <c r="AA170" s="8"/>
      <c r="AB170" s="8" t="s">
        <v>14</v>
      </c>
      <c r="AC170" s="8"/>
      <c r="AD170" s="8"/>
      <c r="AE170" s="8"/>
      <c r="AF170" s="8" t="s">
        <v>15</v>
      </c>
      <c r="AG170" s="8"/>
      <c r="AH170" s="8"/>
      <c r="AI170" s="8"/>
      <c r="AJ170" s="8" t="s">
        <v>16</v>
      </c>
      <c r="AK170" s="8"/>
      <c r="AL170" s="8"/>
      <c r="AM170" s="8"/>
      <c r="AN170" s="8" t="s">
        <v>17</v>
      </c>
      <c r="AO170" s="8"/>
      <c r="AP170" s="8"/>
      <c r="AQ170" s="10"/>
    </row>
    <row r="171" spans="1:51" ht="15.75" thickBot="1" x14ac:dyDescent="0.3">
      <c r="A171" s="4" t="s">
        <v>19</v>
      </c>
      <c r="B171" s="5"/>
      <c r="C171" s="6"/>
      <c r="D171" s="7">
        <v>42690</v>
      </c>
      <c r="E171" s="8"/>
      <c r="F171" s="8"/>
      <c r="G171" s="8"/>
      <c r="H171" s="9">
        <v>42749</v>
      </c>
      <c r="I171" s="8"/>
      <c r="J171" s="8"/>
      <c r="K171" s="8"/>
      <c r="L171" s="9"/>
      <c r="M171" s="8"/>
      <c r="N171" s="8"/>
      <c r="O171" s="8"/>
      <c r="P171" s="9"/>
      <c r="Q171" s="8"/>
      <c r="R171" s="8"/>
      <c r="S171" s="8"/>
      <c r="T171" s="9"/>
      <c r="U171" s="8"/>
      <c r="V171" s="8"/>
      <c r="W171" s="8"/>
      <c r="X171" s="9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10"/>
    </row>
    <row r="172" spans="1:51" ht="15.75" thickBot="1" x14ac:dyDescent="0.3">
      <c r="D172" s="11">
        <v>85</v>
      </c>
      <c r="E172" s="12"/>
      <c r="F172" s="12"/>
      <c r="G172" s="12"/>
      <c r="H172" s="12">
        <v>85</v>
      </c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3"/>
    </row>
    <row r="174" spans="1:51" ht="15.75" thickBot="1" x14ac:dyDescent="0.3"/>
    <row r="175" spans="1:51" ht="15.75" thickBot="1" x14ac:dyDescent="0.3">
      <c r="B175" s="1">
        <v>22</v>
      </c>
      <c r="C175" s="14" t="s">
        <v>3</v>
      </c>
      <c r="D175" s="14"/>
      <c r="E175" s="14"/>
      <c r="F175" s="15" t="s">
        <v>4</v>
      </c>
      <c r="G175" s="15"/>
      <c r="H175" s="15"/>
      <c r="I175" s="15"/>
      <c r="J175" s="15"/>
      <c r="K175" s="15"/>
      <c r="L175" s="15" t="s">
        <v>5</v>
      </c>
      <c r="M175" s="15"/>
      <c r="AI175" s="16" t="s">
        <v>6</v>
      </c>
      <c r="AJ175" s="17"/>
      <c r="AK175" s="17"/>
      <c r="AL175" s="17"/>
      <c r="AN175" s="16" t="s">
        <v>7</v>
      </c>
      <c r="AO175" s="17"/>
      <c r="AP175" s="17"/>
      <c r="AQ175" s="17"/>
      <c r="AT175" s="18" t="s">
        <v>20</v>
      </c>
      <c r="AU175" s="19"/>
      <c r="AV175" s="19"/>
      <c r="AW175" s="19"/>
      <c r="AX175" s="19"/>
      <c r="AY175" s="20"/>
    </row>
    <row r="176" spans="1:51" ht="15.75" thickBot="1" x14ac:dyDescent="0.3">
      <c r="C176" s="38">
        <v>29512</v>
      </c>
      <c r="D176" s="39"/>
      <c r="E176" s="43"/>
      <c r="F176" s="23">
        <v>42720</v>
      </c>
      <c r="G176" s="24"/>
      <c r="H176" s="24"/>
      <c r="I176" s="24"/>
      <c r="J176" s="24"/>
      <c r="K176" s="25"/>
      <c r="L176" s="26">
        <v>4</v>
      </c>
      <c r="M176" s="26"/>
      <c r="AI176" s="27">
        <v>230</v>
      </c>
      <c r="AJ176" s="28"/>
      <c r="AK176" s="28"/>
      <c r="AL176" s="28"/>
      <c r="AN176" s="29">
        <f>AI176-D180-H180-L180-P180-T180-X180-AB180-AF180-AJ180-AN180</f>
        <v>0</v>
      </c>
      <c r="AO176" s="30"/>
      <c r="AP176" s="30"/>
      <c r="AQ176" s="30"/>
      <c r="AT176" s="31" t="s">
        <v>21</v>
      </c>
      <c r="AU176" s="32"/>
      <c r="AV176" s="32"/>
      <c r="AW176" s="32" t="s">
        <v>22</v>
      </c>
      <c r="AX176" s="32"/>
      <c r="AY176" s="33"/>
    </row>
    <row r="177" spans="1:51" ht="15.75" thickBot="1" x14ac:dyDescent="0.3">
      <c r="AT177" s="34">
        <v>24</v>
      </c>
      <c r="AU177" s="35"/>
      <c r="AV177" s="35"/>
      <c r="AW177" s="35">
        <v>3</v>
      </c>
      <c r="AX177" s="35"/>
      <c r="AY177" s="36"/>
    </row>
    <row r="178" spans="1:51" ht="15.75" thickBot="1" x14ac:dyDescent="0.3">
      <c r="D178" s="37" t="s">
        <v>8</v>
      </c>
      <c r="E178" s="8"/>
      <c r="F178" s="8"/>
      <c r="G178" s="8"/>
      <c r="H178" s="8" t="s">
        <v>9</v>
      </c>
      <c r="I178" s="8"/>
      <c r="J178" s="8"/>
      <c r="K178" s="8"/>
      <c r="L178" s="8" t="s">
        <v>10</v>
      </c>
      <c r="M178" s="8"/>
      <c r="N178" s="8"/>
      <c r="O178" s="8"/>
      <c r="P178" s="8" t="s">
        <v>11</v>
      </c>
      <c r="Q178" s="8"/>
      <c r="R178" s="8"/>
      <c r="S178" s="8"/>
      <c r="T178" s="8" t="s">
        <v>12</v>
      </c>
      <c r="U178" s="8"/>
      <c r="V178" s="8"/>
      <c r="W178" s="8"/>
      <c r="X178" s="8" t="s">
        <v>13</v>
      </c>
      <c r="Y178" s="8"/>
      <c r="Z178" s="8"/>
      <c r="AA178" s="8"/>
      <c r="AB178" s="8" t="s">
        <v>14</v>
      </c>
      <c r="AC178" s="8"/>
      <c r="AD178" s="8"/>
      <c r="AE178" s="8"/>
      <c r="AF178" s="8" t="s">
        <v>15</v>
      </c>
      <c r="AG178" s="8"/>
      <c r="AH178" s="8"/>
      <c r="AI178" s="8"/>
      <c r="AJ178" s="8" t="s">
        <v>16</v>
      </c>
      <c r="AK178" s="8"/>
      <c r="AL178" s="8"/>
      <c r="AM178" s="8"/>
      <c r="AN178" s="8" t="s">
        <v>17</v>
      </c>
      <c r="AO178" s="8"/>
      <c r="AP178" s="8"/>
      <c r="AQ178" s="10"/>
    </row>
    <row r="179" spans="1:51" ht="15.75" thickBot="1" x14ac:dyDescent="0.3">
      <c r="A179" s="4" t="s">
        <v>19</v>
      </c>
      <c r="B179" s="5"/>
      <c r="C179" s="6"/>
      <c r="D179" s="7">
        <v>42744</v>
      </c>
      <c r="E179" s="8"/>
      <c r="F179" s="8"/>
      <c r="G179" s="8"/>
      <c r="H179" s="9">
        <v>42749</v>
      </c>
      <c r="I179" s="8"/>
      <c r="J179" s="8"/>
      <c r="K179" s="8"/>
      <c r="L179" s="9">
        <v>42754</v>
      </c>
      <c r="M179" s="8"/>
      <c r="N179" s="8"/>
      <c r="O179" s="8"/>
      <c r="P179" s="9"/>
      <c r="Q179" s="8"/>
      <c r="R179" s="8"/>
      <c r="S179" s="8"/>
      <c r="T179" s="9"/>
      <c r="U179" s="8"/>
      <c r="V179" s="8"/>
      <c r="W179" s="8"/>
      <c r="X179" s="9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10"/>
    </row>
    <row r="180" spans="1:51" ht="15.75" thickBot="1" x14ac:dyDescent="0.3">
      <c r="D180" s="11">
        <v>58</v>
      </c>
      <c r="E180" s="12"/>
      <c r="F180" s="12"/>
      <c r="G180" s="12"/>
      <c r="H180" s="12">
        <v>58</v>
      </c>
      <c r="I180" s="12"/>
      <c r="J180" s="12"/>
      <c r="K180" s="12"/>
      <c r="L180" s="12">
        <v>114</v>
      </c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3"/>
    </row>
    <row r="182" spans="1:51" ht="15.75" thickBot="1" x14ac:dyDescent="0.3"/>
    <row r="183" spans="1:51" ht="15.75" thickBot="1" x14ac:dyDescent="0.3">
      <c r="B183" s="1">
        <v>23</v>
      </c>
      <c r="C183" s="14" t="s">
        <v>3</v>
      </c>
      <c r="D183" s="14"/>
      <c r="E183" s="14"/>
      <c r="F183" s="15" t="s">
        <v>4</v>
      </c>
      <c r="G183" s="15"/>
      <c r="H183" s="15"/>
      <c r="I183" s="15"/>
      <c r="J183" s="15"/>
      <c r="K183" s="15"/>
      <c r="L183" s="15" t="s">
        <v>5</v>
      </c>
      <c r="M183" s="15"/>
      <c r="AI183" s="16" t="s">
        <v>6</v>
      </c>
      <c r="AJ183" s="17"/>
      <c r="AK183" s="17"/>
      <c r="AL183" s="17"/>
      <c r="AN183" s="16" t="s">
        <v>7</v>
      </c>
      <c r="AO183" s="17"/>
      <c r="AP183" s="17"/>
      <c r="AQ183" s="17"/>
      <c r="AT183" s="18" t="s">
        <v>20</v>
      </c>
      <c r="AU183" s="19"/>
      <c r="AV183" s="19"/>
      <c r="AW183" s="19"/>
      <c r="AX183" s="19"/>
      <c r="AY183" s="20"/>
    </row>
    <row r="184" spans="1:51" ht="15.75" thickBot="1" x14ac:dyDescent="0.3">
      <c r="C184" s="38">
        <v>30116</v>
      </c>
      <c r="D184" s="39"/>
      <c r="E184" s="43"/>
      <c r="F184" s="23">
        <v>42754</v>
      </c>
      <c r="G184" s="24"/>
      <c r="H184" s="24"/>
      <c r="I184" s="24"/>
      <c r="J184" s="24"/>
      <c r="K184" s="25"/>
      <c r="L184" s="26">
        <v>4</v>
      </c>
      <c r="M184" s="26"/>
      <c r="AI184" s="27">
        <v>260</v>
      </c>
      <c r="AJ184" s="28"/>
      <c r="AK184" s="28"/>
      <c r="AL184" s="28"/>
      <c r="AN184" s="29">
        <f>AI184-D188-H188-L188-P188-T188-X188-AB188-AF188-AJ188-AN188</f>
        <v>0</v>
      </c>
      <c r="AO184" s="30"/>
      <c r="AP184" s="30"/>
      <c r="AQ184" s="30"/>
      <c r="AT184" s="31" t="s">
        <v>21</v>
      </c>
      <c r="AU184" s="32"/>
      <c r="AV184" s="32"/>
      <c r="AW184" s="32" t="s">
        <v>22</v>
      </c>
      <c r="AX184" s="32"/>
      <c r="AY184" s="33"/>
    </row>
    <row r="185" spans="1:51" ht="15.75" thickBot="1" x14ac:dyDescent="0.3">
      <c r="AT185" s="34">
        <v>2</v>
      </c>
      <c r="AU185" s="35"/>
      <c r="AV185" s="35"/>
      <c r="AW185" s="35">
        <v>5</v>
      </c>
      <c r="AX185" s="35"/>
      <c r="AY185" s="36"/>
    </row>
    <row r="186" spans="1:51" ht="15.75" thickBot="1" x14ac:dyDescent="0.3">
      <c r="D186" s="37" t="s">
        <v>8</v>
      </c>
      <c r="E186" s="8"/>
      <c r="F186" s="8"/>
      <c r="G186" s="8"/>
      <c r="H186" s="8" t="s">
        <v>9</v>
      </c>
      <c r="I186" s="8"/>
      <c r="J186" s="8"/>
      <c r="K186" s="8"/>
      <c r="L186" s="8" t="s">
        <v>10</v>
      </c>
      <c r="M186" s="8"/>
      <c r="N186" s="8"/>
      <c r="O186" s="8"/>
      <c r="P186" s="8" t="s">
        <v>11</v>
      </c>
      <c r="Q186" s="8"/>
      <c r="R186" s="8"/>
      <c r="S186" s="8"/>
      <c r="T186" s="8" t="s">
        <v>12</v>
      </c>
      <c r="U186" s="8"/>
      <c r="V186" s="8"/>
      <c r="W186" s="8"/>
      <c r="X186" s="8" t="s">
        <v>13</v>
      </c>
      <c r="Y186" s="8"/>
      <c r="Z186" s="8"/>
      <c r="AA186" s="8"/>
      <c r="AB186" s="8" t="s">
        <v>14</v>
      </c>
      <c r="AC186" s="8"/>
      <c r="AD186" s="8"/>
      <c r="AE186" s="8"/>
      <c r="AF186" s="8" t="s">
        <v>15</v>
      </c>
      <c r="AG186" s="8"/>
      <c r="AH186" s="8"/>
      <c r="AI186" s="8"/>
      <c r="AJ186" s="8" t="s">
        <v>16</v>
      </c>
      <c r="AK186" s="8"/>
      <c r="AL186" s="8"/>
      <c r="AM186" s="8"/>
      <c r="AN186" s="8" t="s">
        <v>17</v>
      </c>
      <c r="AO186" s="8"/>
      <c r="AP186" s="8"/>
      <c r="AQ186" s="10"/>
    </row>
    <row r="187" spans="1:51" ht="15.75" thickBot="1" x14ac:dyDescent="0.3">
      <c r="A187" s="4" t="s">
        <v>19</v>
      </c>
      <c r="B187" s="5"/>
      <c r="C187" s="6"/>
      <c r="D187" s="7">
        <v>42774</v>
      </c>
      <c r="E187" s="8"/>
      <c r="F187" s="8"/>
      <c r="G187" s="8"/>
      <c r="H187" s="9">
        <v>42780</v>
      </c>
      <c r="I187" s="8"/>
      <c r="J187" s="8"/>
      <c r="K187" s="8"/>
      <c r="L187" s="9">
        <v>42803</v>
      </c>
      <c r="M187" s="8"/>
      <c r="N187" s="8"/>
      <c r="O187" s="8"/>
      <c r="P187" s="9">
        <v>42810</v>
      </c>
      <c r="Q187" s="8"/>
      <c r="R187" s="8"/>
      <c r="S187" s="8"/>
      <c r="T187" s="9"/>
      <c r="U187" s="8"/>
      <c r="V187" s="8"/>
      <c r="W187" s="8"/>
      <c r="X187" s="9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10"/>
    </row>
    <row r="188" spans="1:51" ht="15.75" thickBot="1" x14ac:dyDescent="0.3">
      <c r="D188" s="11">
        <v>65</v>
      </c>
      <c r="E188" s="12"/>
      <c r="F188" s="12"/>
      <c r="G188" s="12"/>
      <c r="H188" s="12">
        <v>65</v>
      </c>
      <c r="I188" s="12"/>
      <c r="J188" s="12"/>
      <c r="K188" s="12"/>
      <c r="L188" s="12">
        <v>65</v>
      </c>
      <c r="M188" s="12"/>
      <c r="N188" s="12"/>
      <c r="O188" s="12"/>
      <c r="P188" s="12">
        <v>65</v>
      </c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3"/>
    </row>
    <row r="190" spans="1:51" ht="15.75" thickBot="1" x14ac:dyDescent="0.3"/>
    <row r="191" spans="1:51" ht="15.75" thickBot="1" x14ac:dyDescent="0.3">
      <c r="B191" s="1">
        <v>24</v>
      </c>
      <c r="C191" s="14" t="s">
        <v>3</v>
      </c>
      <c r="D191" s="14"/>
      <c r="E191" s="14"/>
      <c r="F191" s="15" t="s">
        <v>4</v>
      </c>
      <c r="G191" s="15"/>
      <c r="H191" s="15"/>
      <c r="I191" s="15"/>
      <c r="J191" s="15"/>
      <c r="K191" s="15"/>
      <c r="L191" s="15" t="s">
        <v>5</v>
      </c>
      <c r="M191" s="15"/>
      <c r="AI191" s="16" t="s">
        <v>6</v>
      </c>
      <c r="AJ191" s="17"/>
      <c r="AK191" s="17"/>
      <c r="AL191" s="17"/>
      <c r="AN191" s="16" t="s">
        <v>7</v>
      </c>
      <c r="AO191" s="17"/>
      <c r="AP191" s="17"/>
      <c r="AQ191" s="17"/>
      <c r="AT191" s="18" t="s">
        <v>20</v>
      </c>
      <c r="AU191" s="19"/>
      <c r="AV191" s="19"/>
      <c r="AW191" s="19"/>
      <c r="AX191" s="19"/>
      <c r="AY191" s="20"/>
    </row>
    <row r="192" spans="1:51" ht="15.75" thickBot="1" x14ac:dyDescent="0.3">
      <c r="C192" s="73">
        <v>30730</v>
      </c>
      <c r="D192" s="74"/>
      <c r="E192" s="74"/>
      <c r="F192" s="23">
        <v>42804</v>
      </c>
      <c r="G192" s="24"/>
      <c r="H192" s="24"/>
      <c r="I192" s="24"/>
      <c r="J192" s="24"/>
      <c r="K192" s="25"/>
      <c r="L192" s="26">
        <v>5</v>
      </c>
      <c r="M192" s="26"/>
      <c r="AI192" s="27">
        <v>800</v>
      </c>
      <c r="AJ192" s="28"/>
      <c r="AK192" s="28"/>
      <c r="AL192" s="28"/>
      <c r="AN192" s="29">
        <f>AI192-D196-H196-L196-P196-T196-X196-AB196-AF196-AJ196-AN196</f>
        <v>0</v>
      </c>
      <c r="AO192" s="30"/>
      <c r="AP192" s="30"/>
      <c r="AQ192" s="30"/>
      <c r="AT192" s="31" t="s">
        <v>21</v>
      </c>
      <c r="AU192" s="32"/>
      <c r="AV192" s="32"/>
      <c r="AW192" s="32" t="s">
        <v>22</v>
      </c>
      <c r="AX192" s="32"/>
      <c r="AY192" s="33"/>
    </row>
    <row r="193" spans="1:51" ht="15.75" thickBot="1" x14ac:dyDescent="0.3">
      <c r="AT193" s="34">
        <v>6</v>
      </c>
      <c r="AU193" s="35"/>
      <c r="AV193" s="35"/>
      <c r="AW193" s="35">
        <v>11</v>
      </c>
      <c r="AX193" s="35"/>
      <c r="AY193" s="36"/>
    </row>
    <row r="194" spans="1:51" ht="15.75" thickBot="1" x14ac:dyDescent="0.3">
      <c r="D194" s="37" t="s">
        <v>8</v>
      </c>
      <c r="E194" s="8"/>
      <c r="F194" s="8"/>
      <c r="G194" s="8"/>
      <c r="H194" s="8" t="s">
        <v>9</v>
      </c>
      <c r="I194" s="8"/>
      <c r="J194" s="8"/>
      <c r="K194" s="8"/>
      <c r="L194" s="8" t="s">
        <v>10</v>
      </c>
      <c r="M194" s="8"/>
      <c r="N194" s="8"/>
      <c r="O194" s="8"/>
      <c r="P194" s="8" t="s">
        <v>11</v>
      </c>
      <c r="Q194" s="8"/>
      <c r="R194" s="8"/>
      <c r="S194" s="8"/>
      <c r="T194" s="8" t="s">
        <v>12</v>
      </c>
      <c r="U194" s="8"/>
      <c r="V194" s="8"/>
      <c r="W194" s="8"/>
      <c r="X194" s="8" t="s">
        <v>13</v>
      </c>
      <c r="Y194" s="8"/>
      <c r="Z194" s="8"/>
      <c r="AA194" s="8"/>
      <c r="AB194" s="8" t="s">
        <v>14</v>
      </c>
      <c r="AC194" s="8"/>
      <c r="AD194" s="8"/>
      <c r="AE194" s="8"/>
      <c r="AF194" s="8" t="s">
        <v>15</v>
      </c>
      <c r="AG194" s="8"/>
      <c r="AH194" s="8"/>
      <c r="AI194" s="8"/>
      <c r="AJ194" s="8" t="s">
        <v>16</v>
      </c>
      <c r="AK194" s="8"/>
      <c r="AL194" s="8"/>
      <c r="AM194" s="8"/>
      <c r="AN194" s="8" t="s">
        <v>17</v>
      </c>
      <c r="AO194" s="8"/>
      <c r="AP194" s="8"/>
      <c r="AQ194" s="10"/>
    </row>
    <row r="195" spans="1:51" ht="15.75" thickBot="1" x14ac:dyDescent="0.3">
      <c r="A195" s="4" t="s">
        <v>19</v>
      </c>
      <c r="B195" s="5"/>
      <c r="C195" s="6"/>
      <c r="D195" s="7">
        <v>42827</v>
      </c>
      <c r="E195" s="8"/>
      <c r="F195" s="8"/>
      <c r="G195" s="8"/>
      <c r="H195" s="9">
        <v>42842</v>
      </c>
      <c r="I195" s="8"/>
      <c r="J195" s="8"/>
      <c r="K195" s="8"/>
      <c r="L195" s="9">
        <v>42852</v>
      </c>
      <c r="M195" s="8"/>
      <c r="N195" s="8"/>
      <c r="O195" s="8"/>
      <c r="P195" s="9">
        <v>42868</v>
      </c>
      <c r="Q195" s="8"/>
      <c r="R195" s="8"/>
      <c r="S195" s="8"/>
      <c r="T195" s="9">
        <v>42894</v>
      </c>
      <c r="U195" s="8"/>
      <c r="V195" s="8"/>
      <c r="W195" s="8"/>
      <c r="X195" s="9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10"/>
    </row>
    <row r="196" spans="1:51" ht="15.75" thickBot="1" x14ac:dyDescent="0.3">
      <c r="D196" s="11">
        <v>160</v>
      </c>
      <c r="E196" s="12"/>
      <c r="F196" s="12"/>
      <c r="G196" s="12"/>
      <c r="H196" s="12">
        <v>160</v>
      </c>
      <c r="I196" s="12"/>
      <c r="J196" s="12"/>
      <c r="K196" s="12"/>
      <c r="L196" s="12">
        <v>160</v>
      </c>
      <c r="M196" s="12"/>
      <c r="N196" s="12"/>
      <c r="O196" s="12"/>
      <c r="P196" s="12">
        <v>160</v>
      </c>
      <c r="Q196" s="12"/>
      <c r="R196" s="12"/>
      <c r="S196" s="12"/>
      <c r="T196" s="12">
        <v>160</v>
      </c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3"/>
    </row>
    <row r="198" spans="1:51" ht="15.75" thickBot="1" x14ac:dyDescent="0.3"/>
    <row r="199" spans="1:51" ht="15.75" thickBot="1" x14ac:dyDescent="0.3">
      <c r="B199" s="1">
        <v>25</v>
      </c>
      <c r="C199" s="14" t="s">
        <v>3</v>
      </c>
      <c r="D199" s="14"/>
      <c r="E199" s="14"/>
      <c r="F199" s="15" t="s">
        <v>4</v>
      </c>
      <c r="G199" s="15"/>
      <c r="H199" s="15"/>
      <c r="I199" s="15"/>
      <c r="J199" s="15"/>
      <c r="K199" s="15"/>
      <c r="L199" s="15" t="s">
        <v>5</v>
      </c>
      <c r="M199" s="15"/>
      <c r="AI199" s="16" t="s">
        <v>6</v>
      </c>
      <c r="AJ199" s="17"/>
      <c r="AK199" s="17"/>
      <c r="AL199" s="17"/>
      <c r="AN199" s="16" t="s">
        <v>7</v>
      </c>
      <c r="AO199" s="17"/>
      <c r="AP199" s="17"/>
      <c r="AQ199" s="17"/>
      <c r="AT199" s="18" t="s">
        <v>20</v>
      </c>
      <c r="AU199" s="19"/>
      <c r="AV199" s="19"/>
      <c r="AW199" s="19"/>
      <c r="AX199" s="19"/>
      <c r="AY199" s="20"/>
    </row>
    <row r="200" spans="1:51" ht="15.75" thickBot="1" x14ac:dyDescent="0.3">
      <c r="C200" s="21"/>
      <c r="D200" s="22"/>
      <c r="E200" s="22"/>
      <c r="F200" s="23">
        <v>42852</v>
      </c>
      <c r="G200" s="24"/>
      <c r="H200" s="24"/>
      <c r="I200" s="24"/>
      <c r="J200" s="24"/>
      <c r="K200" s="25"/>
      <c r="L200" s="26">
        <v>4</v>
      </c>
      <c r="M200" s="26"/>
      <c r="AI200" s="27">
        <v>240</v>
      </c>
      <c r="AJ200" s="28"/>
      <c r="AK200" s="28"/>
      <c r="AL200" s="28"/>
      <c r="AN200" s="29">
        <f>AI200-D204-H204-L204-P204-T204-X204-AB204-AF204-AJ204-AN204</f>
        <v>0</v>
      </c>
      <c r="AO200" s="30"/>
      <c r="AP200" s="30"/>
      <c r="AQ200" s="30"/>
      <c r="AT200" s="31" t="s">
        <v>21</v>
      </c>
      <c r="AU200" s="32"/>
      <c r="AV200" s="32"/>
      <c r="AW200" s="32" t="s">
        <v>22</v>
      </c>
      <c r="AX200" s="32"/>
      <c r="AY200" s="33"/>
    </row>
    <row r="201" spans="1:51" ht="15.75" thickBot="1" x14ac:dyDescent="0.3">
      <c r="AT201" s="34">
        <v>9</v>
      </c>
      <c r="AU201" s="35"/>
      <c r="AV201" s="35"/>
      <c r="AW201" s="35">
        <v>12</v>
      </c>
      <c r="AX201" s="35"/>
      <c r="AY201" s="36"/>
    </row>
    <row r="202" spans="1:51" ht="15.75" thickBot="1" x14ac:dyDescent="0.3">
      <c r="D202" s="37" t="s">
        <v>8</v>
      </c>
      <c r="E202" s="8"/>
      <c r="F202" s="8"/>
      <c r="G202" s="8"/>
      <c r="H202" s="8" t="s">
        <v>9</v>
      </c>
      <c r="I202" s="8"/>
      <c r="J202" s="8"/>
      <c r="K202" s="8"/>
      <c r="L202" s="8" t="s">
        <v>10</v>
      </c>
      <c r="M202" s="8"/>
      <c r="N202" s="8"/>
      <c r="O202" s="8"/>
      <c r="P202" s="8" t="s">
        <v>11</v>
      </c>
      <c r="Q202" s="8"/>
      <c r="R202" s="8"/>
      <c r="S202" s="8"/>
      <c r="T202" s="8" t="s">
        <v>12</v>
      </c>
      <c r="U202" s="8"/>
      <c r="V202" s="8"/>
      <c r="W202" s="8"/>
      <c r="X202" s="8" t="s">
        <v>13</v>
      </c>
      <c r="Y202" s="8"/>
      <c r="Z202" s="8"/>
      <c r="AA202" s="8"/>
      <c r="AB202" s="8" t="s">
        <v>14</v>
      </c>
      <c r="AC202" s="8"/>
      <c r="AD202" s="8"/>
      <c r="AE202" s="8"/>
      <c r="AF202" s="8" t="s">
        <v>15</v>
      </c>
      <c r="AG202" s="8"/>
      <c r="AH202" s="8"/>
      <c r="AI202" s="8"/>
      <c r="AJ202" s="8" t="s">
        <v>16</v>
      </c>
      <c r="AK202" s="8"/>
      <c r="AL202" s="8"/>
      <c r="AM202" s="8"/>
      <c r="AN202" s="8" t="s">
        <v>17</v>
      </c>
      <c r="AO202" s="8"/>
      <c r="AP202" s="8"/>
      <c r="AQ202" s="10"/>
    </row>
    <row r="203" spans="1:51" ht="15.75" thickBot="1" x14ac:dyDescent="0.3">
      <c r="A203" s="4" t="s">
        <v>19</v>
      </c>
      <c r="B203" s="5"/>
      <c r="C203" s="6"/>
      <c r="D203" s="7">
        <v>42868</v>
      </c>
      <c r="E203" s="8"/>
      <c r="F203" s="8"/>
      <c r="G203" s="8"/>
      <c r="H203" s="9">
        <v>42894</v>
      </c>
      <c r="I203" s="8"/>
      <c r="J203" s="8"/>
      <c r="K203" s="8"/>
      <c r="L203" s="9">
        <v>42902</v>
      </c>
      <c r="M203" s="8"/>
      <c r="N203" s="8"/>
      <c r="O203" s="8"/>
      <c r="P203" s="9">
        <v>42925</v>
      </c>
      <c r="Q203" s="8"/>
      <c r="R203" s="8"/>
      <c r="S203" s="8"/>
      <c r="T203" s="9"/>
      <c r="U203" s="8"/>
      <c r="V203" s="8"/>
      <c r="W203" s="8"/>
      <c r="X203" s="9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10"/>
    </row>
    <row r="204" spans="1:51" ht="15.75" thickBot="1" x14ac:dyDescent="0.3">
      <c r="D204" s="11">
        <v>60</v>
      </c>
      <c r="E204" s="12"/>
      <c r="F204" s="12"/>
      <c r="G204" s="12"/>
      <c r="H204" s="12">
        <v>60</v>
      </c>
      <c r="I204" s="12"/>
      <c r="J204" s="12"/>
      <c r="K204" s="12"/>
      <c r="L204" s="12">
        <v>60</v>
      </c>
      <c r="M204" s="12"/>
      <c r="N204" s="12"/>
      <c r="O204" s="12"/>
      <c r="P204" s="12">
        <v>60</v>
      </c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3"/>
    </row>
    <row r="206" spans="1:51" ht="15.75" thickBot="1" x14ac:dyDescent="0.3"/>
    <row r="207" spans="1:51" ht="15.75" thickBot="1" x14ac:dyDescent="0.3">
      <c r="B207" s="1">
        <v>26</v>
      </c>
      <c r="C207" s="14" t="s">
        <v>3</v>
      </c>
      <c r="D207" s="14"/>
      <c r="E207" s="14"/>
      <c r="F207" s="15" t="s">
        <v>4</v>
      </c>
      <c r="G207" s="15"/>
      <c r="H207" s="15"/>
      <c r="I207" s="15"/>
      <c r="J207" s="15"/>
      <c r="K207" s="15"/>
      <c r="L207" s="15" t="s">
        <v>5</v>
      </c>
      <c r="M207" s="15"/>
      <c r="AI207" s="16" t="s">
        <v>6</v>
      </c>
      <c r="AJ207" s="17"/>
      <c r="AK207" s="17"/>
      <c r="AL207" s="17"/>
      <c r="AN207" s="16" t="s">
        <v>7</v>
      </c>
      <c r="AO207" s="17"/>
      <c r="AP207" s="17"/>
      <c r="AQ207" s="17"/>
      <c r="AT207" s="18" t="s">
        <v>20</v>
      </c>
      <c r="AU207" s="19"/>
      <c r="AV207" s="19"/>
      <c r="AW207" s="19"/>
      <c r="AX207" s="19"/>
      <c r="AY207" s="20"/>
    </row>
    <row r="208" spans="1:51" ht="15.75" thickBot="1" x14ac:dyDescent="0.3">
      <c r="C208" s="57">
        <v>32079</v>
      </c>
      <c r="D208" s="58"/>
      <c r="E208" s="59"/>
      <c r="F208" s="23">
        <v>42910</v>
      </c>
      <c r="G208" s="24"/>
      <c r="H208" s="24"/>
      <c r="I208" s="24"/>
      <c r="J208" s="24"/>
      <c r="K208" s="25"/>
      <c r="L208" s="26">
        <v>4</v>
      </c>
      <c r="M208" s="26"/>
      <c r="AI208" s="27">
        <v>310</v>
      </c>
      <c r="AJ208" s="28"/>
      <c r="AK208" s="28"/>
      <c r="AL208" s="28"/>
      <c r="AN208" s="29">
        <f>AI208-D212-H212-L212-P212-T212-X212-AB212-AF212-AJ212-AN212</f>
        <v>0</v>
      </c>
      <c r="AO208" s="30"/>
      <c r="AP208" s="30"/>
      <c r="AQ208" s="30"/>
      <c r="AT208" s="31" t="s">
        <v>21</v>
      </c>
      <c r="AU208" s="32"/>
      <c r="AV208" s="32"/>
      <c r="AW208" s="32" t="s">
        <v>22</v>
      </c>
      <c r="AX208" s="32"/>
      <c r="AY208" s="33"/>
    </row>
    <row r="209" spans="1:51" ht="15.75" thickBot="1" x14ac:dyDescent="0.3">
      <c r="AT209" s="34">
        <v>13</v>
      </c>
      <c r="AU209" s="35"/>
      <c r="AV209" s="35"/>
      <c r="AW209" s="35">
        <v>16</v>
      </c>
      <c r="AX209" s="35"/>
      <c r="AY209" s="36"/>
    </row>
    <row r="210" spans="1:51" ht="15.75" thickBot="1" x14ac:dyDescent="0.3">
      <c r="D210" s="37" t="s">
        <v>8</v>
      </c>
      <c r="E210" s="8"/>
      <c r="F210" s="8"/>
      <c r="G210" s="8"/>
      <c r="H210" s="8" t="s">
        <v>9</v>
      </c>
      <c r="I210" s="8"/>
      <c r="J210" s="8"/>
      <c r="K210" s="8"/>
      <c r="L210" s="8" t="s">
        <v>10</v>
      </c>
      <c r="M210" s="8"/>
      <c r="N210" s="8"/>
      <c r="O210" s="8"/>
      <c r="P210" s="8" t="s">
        <v>11</v>
      </c>
      <c r="Q210" s="8"/>
      <c r="R210" s="8"/>
      <c r="S210" s="8"/>
      <c r="T210" s="8" t="s">
        <v>12</v>
      </c>
      <c r="U210" s="8"/>
      <c r="V210" s="8"/>
      <c r="W210" s="8"/>
      <c r="X210" s="8" t="s">
        <v>13</v>
      </c>
      <c r="Y210" s="8"/>
      <c r="Z210" s="8"/>
      <c r="AA210" s="8"/>
      <c r="AB210" s="8" t="s">
        <v>14</v>
      </c>
      <c r="AC210" s="8"/>
      <c r="AD210" s="8"/>
      <c r="AE210" s="8"/>
      <c r="AF210" s="8" t="s">
        <v>15</v>
      </c>
      <c r="AG210" s="8"/>
      <c r="AH210" s="8"/>
      <c r="AI210" s="8"/>
      <c r="AJ210" s="8" t="s">
        <v>16</v>
      </c>
      <c r="AK210" s="8"/>
      <c r="AL210" s="8"/>
      <c r="AM210" s="8"/>
      <c r="AN210" s="8" t="s">
        <v>17</v>
      </c>
      <c r="AO210" s="8"/>
      <c r="AP210" s="8"/>
      <c r="AQ210" s="10"/>
    </row>
    <row r="211" spans="1:51" ht="15.75" thickBot="1" x14ac:dyDescent="0.3">
      <c r="A211" s="4" t="s">
        <v>19</v>
      </c>
      <c r="B211" s="5"/>
      <c r="C211" s="6"/>
      <c r="D211" s="7">
        <v>42932</v>
      </c>
      <c r="E211" s="8"/>
      <c r="F211" s="8"/>
      <c r="G211" s="8"/>
      <c r="H211" s="9">
        <v>42955</v>
      </c>
      <c r="I211" s="8"/>
      <c r="J211" s="8"/>
      <c r="K211" s="8"/>
      <c r="L211" s="9">
        <v>42956</v>
      </c>
      <c r="M211" s="8"/>
      <c r="N211" s="8"/>
      <c r="O211" s="8"/>
      <c r="P211" s="9"/>
      <c r="Q211" s="8"/>
      <c r="R211" s="8"/>
      <c r="S211" s="8"/>
      <c r="T211" s="9"/>
      <c r="U211" s="8"/>
      <c r="V211" s="8"/>
      <c r="W211" s="8"/>
      <c r="X211" s="9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10"/>
    </row>
    <row r="212" spans="1:51" ht="15.75" thickBot="1" x14ac:dyDescent="0.3">
      <c r="D212" s="11">
        <v>78</v>
      </c>
      <c r="E212" s="12"/>
      <c r="F212" s="12"/>
      <c r="G212" s="12"/>
      <c r="H212" s="12">
        <v>78</v>
      </c>
      <c r="I212" s="12"/>
      <c r="J212" s="12"/>
      <c r="K212" s="12"/>
      <c r="L212" s="12">
        <v>154</v>
      </c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3"/>
    </row>
    <row r="214" spans="1:51" ht="15.75" thickBot="1" x14ac:dyDescent="0.3"/>
    <row r="215" spans="1:51" ht="15.75" thickBot="1" x14ac:dyDescent="0.3">
      <c r="A215" s="2"/>
      <c r="B215" s="1">
        <v>27</v>
      </c>
      <c r="C215" s="14" t="s">
        <v>3</v>
      </c>
      <c r="D215" s="14"/>
      <c r="E215" s="14"/>
      <c r="F215" s="40" t="s">
        <v>4</v>
      </c>
      <c r="G215" s="40"/>
      <c r="H215" s="40"/>
      <c r="I215" s="40"/>
      <c r="J215" s="40"/>
      <c r="K215" s="40"/>
      <c r="L215" s="40" t="s">
        <v>5</v>
      </c>
      <c r="M215" s="40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16" t="s">
        <v>6</v>
      </c>
      <c r="AJ215" s="17"/>
      <c r="AK215" s="17"/>
      <c r="AL215" s="17"/>
      <c r="AM215" s="2"/>
      <c r="AN215" s="16" t="s">
        <v>7</v>
      </c>
      <c r="AO215" s="17"/>
      <c r="AP215" s="17"/>
      <c r="AQ215" s="17"/>
      <c r="AT215" s="18" t="s">
        <v>20</v>
      </c>
      <c r="AU215" s="19"/>
      <c r="AV215" s="19"/>
      <c r="AW215" s="19"/>
      <c r="AX215" s="19"/>
      <c r="AY215" s="20"/>
    </row>
    <row r="216" spans="1:51" ht="15.75" thickBot="1" x14ac:dyDescent="0.3">
      <c r="A216" s="2"/>
      <c r="B216" s="2"/>
      <c r="C216" s="38">
        <v>32314</v>
      </c>
      <c r="D216" s="39"/>
      <c r="E216" s="43"/>
      <c r="F216" s="44">
        <v>42925</v>
      </c>
      <c r="G216" s="45"/>
      <c r="H216" s="45"/>
      <c r="I216" s="45"/>
      <c r="J216" s="45"/>
      <c r="K216" s="46"/>
      <c r="L216" s="47">
        <v>4</v>
      </c>
      <c r="M216" s="47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7">
        <v>420</v>
      </c>
      <c r="AJ216" s="28"/>
      <c r="AK216" s="28"/>
      <c r="AL216" s="28"/>
      <c r="AM216" s="2"/>
      <c r="AN216" s="29">
        <f>AI216-D220-H220-L220-P220-T220-X220-AB220-AF220-AJ220-AN220</f>
        <v>0</v>
      </c>
      <c r="AO216" s="30"/>
      <c r="AP216" s="30"/>
      <c r="AQ216" s="30"/>
      <c r="AT216" s="31" t="s">
        <v>21</v>
      </c>
      <c r="AU216" s="32"/>
      <c r="AV216" s="32"/>
      <c r="AW216" s="32" t="s">
        <v>22</v>
      </c>
      <c r="AX216" s="32"/>
      <c r="AY216" s="33"/>
    </row>
    <row r="217" spans="1:51" ht="15.75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T217" s="34">
        <v>14</v>
      </c>
      <c r="AU217" s="35"/>
      <c r="AV217" s="35"/>
      <c r="AW217" s="35">
        <v>17</v>
      </c>
      <c r="AX217" s="35"/>
      <c r="AY217" s="36"/>
    </row>
    <row r="218" spans="1:51" ht="15.75" thickBot="1" x14ac:dyDescent="0.3">
      <c r="A218" s="2"/>
      <c r="B218" s="2"/>
      <c r="C218" s="2"/>
      <c r="D218" s="56" t="s">
        <v>8</v>
      </c>
      <c r="E218" s="52"/>
      <c r="F218" s="52"/>
      <c r="G218" s="52"/>
      <c r="H218" s="52" t="s">
        <v>9</v>
      </c>
      <c r="I218" s="52"/>
      <c r="J218" s="52"/>
      <c r="K218" s="52"/>
      <c r="L218" s="52" t="s">
        <v>10</v>
      </c>
      <c r="M218" s="52"/>
      <c r="N218" s="52"/>
      <c r="O218" s="52"/>
      <c r="P218" s="52" t="s">
        <v>11</v>
      </c>
      <c r="Q218" s="52"/>
      <c r="R218" s="52"/>
      <c r="S218" s="52"/>
      <c r="T218" s="52" t="s">
        <v>12</v>
      </c>
      <c r="U218" s="52"/>
      <c r="V218" s="52"/>
      <c r="W218" s="52"/>
      <c r="X218" s="52" t="s">
        <v>13</v>
      </c>
      <c r="Y218" s="52"/>
      <c r="Z218" s="52"/>
      <c r="AA218" s="52"/>
      <c r="AB218" s="52" t="s">
        <v>14</v>
      </c>
      <c r="AC218" s="52"/>
      <c r="AD218" s="52"/>
      <c r="AE218" s="52"/>
      <c r="AF218" s="52" t="s">
        <v>15</v>
      </c>
      <c r="AG218" s="52"/>
      <c r="AH218" s="52"/>
      <c r="AI218" s="52"/>
      <c r="AJ218" s="52" t="s">
        <v>16</v>
      </c>
      <c r="AK218" s="52"/>
      <c r="AL218" s="52"/>
      <c r="AM218" s="52"/>
      <c r="AN218" s="8" t="s">
        <v>17</v>
      </c>
      <c r="AO218" s="8"/>
      <c r="AP218" s="8"/>
      <c r="AQ218" s="10"/>
    </row>
    <row r="219" spans="1:51" ht="15.75" thickBot="1" x14ac:dyDescent="0.3">
      <c r="A219" s="48" t="s">
        <v>19</v>
      </c>
      <c r="B219" s="49"/>
      <c r="C219" s="50"/>
      <c r="D219" s="51">
        <v>42955</v>
      </c>
      <c r="E219" s="52"/>
      <c r="F219" s="52"/>
      <c r="G219" s="52"/>
      <c r="H219" s="53">
        <v>42962</v>
      </c>
      <c r="I219" s="52"/>
      <c r="J219" s="52"/>
      <c r="K219" s="52"/>
      <c r="L219" s="53">
        <v>42987</v>
      </c>
      <c r="M219" s="52"/>
      <c r="N219" s="52"/>
      <c r="O219" s="52"/>
      <c r="P219" s="53">
        <v>42993</v>
      </c>
      <c r="Q219" s="52"/>
      <c r="R219" s="52"/>
      <c r="S219" s="52"/>
      <c r="T219" s="53"/>
      <c r="U219" s="52"/>
      <c r="V219" s="52"/>
      <c r="W219" s="52"/>
      <c r="X219" s="53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8"/>
      <c r="AO219" s="8"/>
      <c r="AP219" s="8"/>
      <c r="AQ219" s="10"/>
    </row>
    <row r="220" spans="1:51" ht="15.75" thickBot="1" x14ac:dyDescent="0.3">
      <c r="A220" s="2"/>
      <c r="B220" s="2"/>
      <c r="C220" s="2"/>
      <c r="D220" s="54">
        <v>105</v>
      </c>
      <c r="E220" s="55"/>
      <c r="F220" s="55"/>
      <c r="G220" s="55"/>
      <c r="H220" s="55">
        <v>105</v>
      </c>
      <c r="I220" s="55"/>
      <c r="J220" s="55"/>
      <c r="K220" s="55"/>
      <c r="L220" s="55">
        <v>105</v>
      </c>
      <c r="M220" s="55"/>
      <c r="N220" s="55"/>
      <c r="O220" s="55"/>
      <c r="P220" s="55">
        <v>105</v>
      </c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12"/>
      <c r="AO220" s="12"/>
      <c r="AP220" s="12"/>
      <c r="AQ220" s="13"/>
    </row>
    <row r="221" spans="1:5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spans="1:51" ht="15.75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spans="1:51" ht="15.75" thickBot="1" x14ac:dyDescent="0.3">
      <c r="A223" s="2"/>
      <c r="B223" s="1">
        <v>28</v>
      </c>
      <c r="C223" s="40" t="s">
        <v>3</v>
      </c>
      <c r="D223" s="40"/>
      <c r="E223" s="40"/>
      <c r="F223" s="40" t="s">
        <v>4</v>
      </c>
      <c r="G223" s="40"/>
      <c r="H223" s="40"/>
      <c r="I223" s="40"/>
      <c r="J223" s="40"/>
      <c r="K223" s="40"/>
      <c r="L223" s="40" t="s">
        <v>5</v>
      </c>
      <c r="M223" s="40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16" t="s">
        <v>6</v>
      </c>
      <c r="AJ223" s="17"/>
      <c r="AK223" s="17"/>
      <c r="AL223" s="17"/>
      <c r="AM223" s="2"/>
      <c r="AN223" s="16" t="s">
        <v>7</v>
      </c>
      <c r="AO223" s="17"/>
      <c r="AP223" s="17"/>
      <c r="AQ223" s="17"/>
      <c r="AT223" s="18" t="s">
        <v>20</v>
      </c>
      <c r="AU223" s="19"/>
      <c r="AV223" s="19"/>
      <c r="AW223" s="19"/>
      <c r="AX223" s="19"/>
      <c r="AY223" s="20"/>
    </row>
    <row r="224" spans="1:51" ht="15.75" thickBot="1" x14ac:dyDescent="0.3">
      <c r="A224" s="2"/>
      <c r="B224" s="2"/>
      <c r="C224" s="38">
        <v>32662</v>
      </c>
      <c r="D224" s="39"/>
      <c r="E224" s="43"/>
      <c r="F224" s="44">
        <v>42956</v>
      </c>
      <c r="G224" s="45"/>
      <c r="H224" s="45"/>
      <c r="I224" s="45"/>
      <c r="J224" s="45"/>
      <c r="K224" s="46"/>
      <c r="L224" s="47">
        <v>4</v>
      </c>
      <c r="M224" s="47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7">
        <v>430</v>
      </c>
      <c r="AJ224" s="28"/>
      <c r="AK224" s="28"/>
      <c r="AL224" s="28"/>
      <c r="AM224" s="2"/>
      <c r="AN224" s="29">
        <f>AI224-D228-H228-L228-P228-T228-X228-AB228-AF228-AJ228-AN228</f>
        <v>0</v>
      </c>
      <c r="AO224" s="30"/>
      <c r="AP224" s="30"/>
      <c r="AQ224" s="30"/>
      <c r="AT224" s="31" t="s">
        <v>21</v>
      </c>
      <c r="AU224" s="32"/>
      <c r="AV224" s="32"/>
      <c r="AW224" s="32" t="s">
        <v>22</v>
      </c>
      <c r="AX224" s="32"/>
      <c r="AY224" s="33"/>
    </row>
    <row r="225" spans="1:51" ht="15.75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T225" s="34">
        <v>16</v>
      </c>
      <c r="AU225" s="35"/>
      <c r="AV225" s="35"/>
      <c r="AW225" s="35">
        <v>19</v>
      </c>
      <c r="AX225" s="35"/>
      <c r="AY225" s="36"/>
    </row>
    <row r="226" spans="1:51" ht="15.75" thickBot="1" x14ac:dyDescent="0.3">
      <c r="A226" s="2"/>
      <c r="B226" s="2"/>
      <c r="C226" s="2"/>
      <c r="D226" s="56" t="s">
        <v>8</v>
      </c>
      <c r="E226" s="52"/>
      <c r="F226" s="52"/>
      <c r="G226" s="52"/>
      <c r="H226" s="52" t="s">
        <v>9</v>
      </c>
      <c r="I226" s="52"/>
      <c r="J226" s="52"/>
      <c r="K226" s="52"/>
      <c r="L226" s="52" t="s">
        <v>10</v>
      </c>
      <c r="M226" s="52"/>
      <c r="N226" s="52"/>
      <c r="O226" s="52"/>
      <c r="P226" s="52" t="s">
        <v>11</v>
      </c>
      <c r="Q226" s="52"/>
      <c r="R226" s="52"/>
      <c r="S226" s="52"/>
      <c r="T226" s="52" t="s">
        <v>12</v>
      </c>
      <c r="U226" s="52"/>
      <c r="V226" s="52"/>
      <c r="W226" s="52"/>
      <c r="X226" s="52" t="s">
        <v>13</v>
      </c>
      <c r="Y226" s="52"/>
      <c r="Z226" s="52"/>
      <c r="AA226" s="52"/>
      <c r="AB226" s="52" t="s">
        <v>14</v>
      </c>
      <c r="AC226" s="52"/>
      <c r="AD226" s="52"/>
      <c r="AE226" s="52"/>
      <c r="AF226" s="52" t="s">
        <v>15</v>
      </c>
      <c r="AG226" s="52"/>
      <c r="AH226" s="52"/>
      <c r="AI226" s="52"/>
      <c r="AJ226" s="52" t="s">
        <v>16</v>
      </c>
      <c r="AK226" s="52"/>
      <c r="AL226" s="52"/>
      <c r="AM226" s="52"/>
      <c r="AN226" s="8" t="s">
        <v>17</v>
      </c>
      <c r="AO226" s="8"/>
      <c r="AP226" s="8"/>
      <c r="AQ226" s="10"/>
    </row>
    <row r="227" spans="1:51" ht="15.75" thickBot="1" x14ac:dyDescent="0.3">
      <c r="A227" s="48" t="s">
        <v>19</v>
      </c>
      <c r="B227" s="49"/>
      <c r="C227" s="50"/>
      <c r="D227" s="51">
        <v>42987</v>
      </c>
      <c r="E227" s="52"/>
      <c r="F227" s="52"/>
      <c r="G227" s="52"/>
      <c r="H227" s="53">
        <v>42993</v>
      </c>
      <c r="I227" s="52"/>
      <c r="J227" s="52"/>
      <c r="K227" s="52"/>
      <c r="L227" s="53">
        <v>43022</v>
      </c>
      <c r="M227" s="52"/>
      <c r="N227" s="52"/>
      <c r="O227" s="52"/>
      <c r="P227" s="53">
        <v>43047</v>
      </c>
      <c r="Q227" s="52"/>
      <c r="R227" s="52"/>
      <c r="S227" s="52"/>
      <c r="T227" s="53"/>
      <c r="U227" s="52"/>
      <c r="V227" s="52"/>
      <c r="W227" s="52"/>
      <c r="X227" s="53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8"/>
      <c r="AO227" s="8"/>
      <c r="AP227" s="8"/>
      <c r="AQ227" s="10"/>
    </row>
    <row r="228" spans="1:51" ht="15.75" thickBot="1" x14ac:dyDescent="0.3">
      <c r="A228" s="2"/>
      <c r="B228" s="2"/>
      <c r="C228" s="2"/>
      <c r="D228" s="54">
        <v>108</v>
      </c>
      <c r="E228" s="55"/>
      <c r="F228" s="55"/>
      <c r="G228" s="55"/>
      <c r="H228" s="55">
        <v>108</v>
      </c>
      <c r="I228" s="55"/>
      <c r="J228" s="55"/>
      <c r="K228" s="55"/>
      <c r="L228" s="55">
        <v>108</v>
      </c>
      <c r="M228" s="55"/>
      <c r="N228" s="55"/>
      <c r="O228" s="55"/>
      <c r="P228" s="55">
        <v>106</v>
      </c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12"/>
      <c r="AO228" s="12"/>
      <c r="AP228" s="12"/>
      <c r="AQ228" s="13"/>
    </row>
    <row r="229" spans="1:5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spans="1:51" ht="15.75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spans="1:51" ht="15.75" thickBot="1" x14ac:dyDescent="0.3">
      <c r="A231" s="2"/>
      <c r="B231" s="1">
        <v>29</v>
      </c>
      <c r="C231" s="40" t="s">
        <v>3</v>
      </c>
      <c r="D231" s="40"/>
      <c r="E231" s="40"/>
      <c r="F231" s="40" t="s">
        <v>4</v>
      </c>
      <c r="G231" s="40"/>
      <c r="H231" s="40"/>
      <c r="I231" s="40"/>
      <c r="J231" s="40"/>
      <c r="K231" s="40"/>
      <c r="L231" s="40" t="s">
        <v>5</v>
      </c>
      <c r="M231" s="40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16" t="s">
        <v>6</v>
      </c>
      <c r="AJ231" s="17"/>
      <c r="AK231" s="17"/>
      <c r="AL231" s="17"/>
      <c r="AM231" s="2"/>
      <c r="AN231" s="16" t="s">
        <v>7</v>
      </c>
      <c r="AO231" s="17"/>
      <c r="AP231" s="17"/>
      <c r="AQ231" s="17"/>
      <c r="AT231" s="18" t="s">
        <v>20</v>
      </c>
      <c r="AU231" s="19"/>
      <c r="AV231" s="19"/>
      <c r="AW231" s="19"/>
      <c r="AX231" s="19"/>
      <c r="AY231" s="20"/>
    </row>
    <row r="232" spans="1:51" ht="15.75" thickBot="1" x14ac:dyDescent="0.3">
      <c r="A232" s="2"/>
      <c r="B232" s="2"/>
      <c r="C232" s="38">
        <v>32923</v>
      </c>
      <c r="D232" s="39"/>
      <c r="E232" s="43"/>
      <c r="F232" s="44">
        <v>42970</v>
      </c>
      <c r="G232" s="45"/>
      <c r="H232" s="45"/>
      <c r="I232" s="45"/>
      <c r="J232" s="45"/>
      <c r="K232" s="46"/>
      <c r="L232" s="47">
        <v>4</v>
      </c>
      <c r="M232" s="47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7">
        <v>250</v>
      </c>
      <c r="AJ232" s="28"/>
      <c r="AK232" s="28"/>
      <c r="AL232" s="28"/>
      <c r="AM232" s="2"/>
      <c r="AN232" s="29">
        <f>AI232-D236-H236-L236-P236-T236-X236-AB236-AF236-AJ236-AN236</f>
        <v>0</v>
      </c>
      <c r="AO232" s="30"/>
      <c r="AP232" s="30"/>
      <c r="AQ232" s="30"/>
      <c r="AT232" s="31" t="s">
        <v>21</v>
      </c>
      <c r="AU232" s="32"/>
      <c r="AV232" s="32"/>
      <c r="AW232" s="32" t="s">
        <v>22</v>
      </c>
      <c r="AX232" s="32"/>
      <c r="AY232" s="33"/>
    </row>
    <row r="233" spans="1:51" ht="15.75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T233" s="34">
        <v>16</v>
      </c>
      <c r="AU233" s="35"/>
      <c r="AV233" s="35"/>
      <c r="AW233" s="35">
        <v>19</v>
      </c>
      <c r="AX233" s="35"/>
      <c r="AY233" s="36"/>
    </row>
    <row r="234" spans="1:51" ht="15.75" thickBot="1" x14ac:dyDescent="0.3">
      <c r="A234" s="2"/>
      <c r="B234" s="2"/>
      <c r="C234" s="2"/>
      <c r="D234" s="56" t="s">
        <v>8</v>
      </c>
      <c r="E234" s="52"/>
      <c r="F234" s="52"/>
      <c r="G234" s="52"/>
      <c r="H234" s="52" t="s">
        <v>9</v>
      </c>
      <c r="I234" s="52"/>
      <c r="J234" s="52"/>
      <c r="K234" s="52"/>
      <c r="L234" s="52" t="s">
        <v>10</v>
      </c>
      <c r="M234" s="52"/>
      <c r="N234" s="52"/>
      <c r="O234" s="52"/>
      <c r="P234" s="52" t="s">
        <v>11</v>
      </c>
      <c r="Q234" s="52"/>
      <c r="R234" s="52"/>
      <c r="S234" s="52"/>
      <c r="T234" s="52" t="s">
        <v>12</v>
      </c>
      <c r="U234" s="52"/>
      <c r="V234" s="52"/>
      <c r="W234" s="52"/>
      <c r="X234" s="52" t="s">
        <v>13</v>
      </c>
      <c r="Y234" s="52"/>
      <c r="Z234" s="52"/>
      <c r="AA234" s="52"/>
      <c r="AB234" s="52" t="s">
        <v>14</v>
      </c>
      <c r="AC234" s="52"/>
      <c r="AD234" s="52"/>
      <c r="AE234" s="52"/>
      <c r="AF234" s="52" t="s">
        <v>15</v>
      </c>
      <c r="AG234" s="52"/>
      <c r="AH234" s="52"/>
      <c r="AI234" s="52"/>
      <c r="AJ234" s="52" t="s">
        <v>16</v>
      </c>
      <c r="AK234" s="52"/>
      <c r="AL234" s="52"/>
      <c r="AM234" s="52"/>
      <c r="AN234" s="8" t="s">
        <v>17</v>
      </c>
      <c r="AO234" s="8"/>
      <c r="AP234" s="8"/>
      <c r="AQ234" s="10"/>
    </row>
    <row r="235" spans="1:51" ht="15.75" thickBot="1" x14ac:dyDescent="0.3">
      <c r="A235" s="48" t="s">
        <v>19</v>
      </c>
      <c r="B235" s="49"/>
      <c r="C235" s="50"/>
      <c r="D235" s="51">
        <v>42987</v>
      </c>
      <c r="E235" s="52"/>
      <c r="F235" s="52"/>
      <c r="G235" s="52"/>
      <c r="H235" s="53">
        <v>42993</v>
      </c>
      <c r="I235" s="52"/>
      <c r="J235" s="52"/>
      <c r="K235" s="52"/>
      <c r="L235" s="53">
        <v>43022</v>
      </c>
      <c r="M235" s="52"/>
      <c r="N235" s="52"/>
      <c r="O235" s="52"/>
      <c r="P235" s="53">
        <v>43047</v>
      </c>
      <c r="Q235" s="52"/>
      <c r="R235" s="52"/>
      <c r="S235" s="52"/>
      <c r="T235" s="53"/>
      <c r="U235" s="52"/>
      <c r="V235" s="52"/>
      <c r="W235" s="52"/>
      <c r="X235" s="53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8"/>
      <c r="AO235" s="8"/>
      <c r="AP235" s="8"/>
      <c r="AQ235" s="10"/>
    </row>
    <row r="236" spans="1:51" ht="15.75" thickBot="1" x14ac:dyDescent="0.3">
      <c r="A236" s="2"/>
      <c r="B236" s="2"/>
      <c r="C236" s="2"/>
      <c r="D236" s="54">
        <v>63</v>
      </c>
      <c r="E236" s="55"/>
      <c r="F236" s="55"/>
      <c r="G236" s="55"/>
      <c r="H236" s="55">
        <v>63</v>
      </c>
      <c r="I236" s="55"/>
      <c r="J236" s="55"/>
      <c r="K236" s="55"/>
      <c r="L236" s="55">
        <v>63</v>
      </c>
      <c r="M236" s="55"/>
      <c r="N236" s="55"/>
      <c r="O236" s="55"/>
      <c r="P236" s="55">
        <v>61</v>
      </c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12"/>
      <c r="AO236" s="12"/>
      <c r="AP236" s="12"/>
      <c r="AQ236" s="13"/>
    </row>
    <row r="237" spans="1:5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 spans="1:51" ht="15.75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spans="1:51" ht="15.75" thickBot="1" x14ac:dyDescent="0.3">
      <c r="A239" s="2"/>
      <c r="B239" s="1">
        <v>30</v>
      </c>
      <c r="C239" s="14" t="s">
        <v>3</v>
      </c>
      <c r="D239" s="14"/>
      <c r="E239" s="14"/>
      <c r="F239" s="40" t="s">
        <v>4</v>
      </c>
      <c r="G239" s="40"/>
      <c r="H239" s="40"/>
      <c r="I239" s="40"/>
      <c r="J239" s="40"/>
      <c r="K239" s="40"/>
      <c r="L239" s="40" t="s">
        <v>5</v>
      </c>
      <c r="M239" s="40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16" t="s">
        <v>6</v>
      </c>
      <c r="AJ239" s="17"/>
      <c r="AK239" s="17"/>
      <c r="AL239" s="17"/>
      <c r="AM239" s="2"/>
      <c r="AN239" s="16" t="s">
        <v>7</v>
      </c>
      <c r="AO239" s="17"/>
      <c r="AP239" s="17"/>
      <c r="AQ239" s="17"/>
      <c r="AT239" s="18" t="s">
        <v>20</v>
      </c>
      <c r="AU239" s="19"/>
      <c r="AV239" s="19"/>
      <c r="AW239" s="19"/>
      <c r="AX239" s="19"/>
      <c r="AY239" s="20"/>
    </row>
    <row r="240" spans="1:51" ht="15.75" thickBot="1" x14ac:dyDescent="0.3">
      <c r="A240" s="2"/>
      <c r="B240" s="2"/>
      <c r="C240" s="38">
        <v>29910</v>
      </c>
      <c r="D240" s="39"/>
      <c r="E240" s="43"/>
      <c r="F240" s="44">
        <v>43047</v>
      </c>
      <c r="G240" s="45"/>
      <c r="H240" s="45"/>
      <c r="I240" s="45"/>
      <c r="J240" s="45"/>
      <c r="K240" s="46"/>
      <c r="L240" s="47">
        <v>4</v>
      </c>
      <c r="M240" s="47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7">
        <v>860</v>
      </c>
      <c r="AJ240" s="28"/>
      <c r="AK240" s="28"/>
      <c r="AL240" s="28"/>
      <c r="AM240" s="2"/>
      <c r="AN240" s="29">
        <f>AI240-D244-H244-L244-P244-T244-X244-AB244-AF244-AJ244-AN244</f>
        <v>0</v>
      </c>
      <c r="AO240" s="30"/>
      <c r="AP240" s="30"/>
      <c r="AQ240" s="30"/>
      <c r="AT240" s="31" t="s">
        <v>21</v>
      </c>
      <c r="AU240" s="32"/>
      <c r="AV240" s="32"/>
      <c r="AW240" s="32" t="s">
        <v>22</v>
      </c>
      <c r="AX240" s="32"/>
      <c r="AY240" s="33"/>
    </row>
    <row r="241" spans="1:51" ht="15.75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T241" s="34">
        <v>21</v>
      </c>
      <c r="AU241" s="35"/>
      <c r="AV241" s="35"/>
      <c r="AW241" s="35">
        <v>24</v>
      </c>
      <c r="AX241" s="35"/>
      <c r="AY241" s="36"/>
    </row>
    <row r="242" spans="1:51" ht="15.75" thickBot="1" x14ac:dyDescent="0.3">
      <c r="A242" s="2"/>
      <c r="B242" s="2"/>
      <c r="C242" s="2"/>
      <c r="D242" s="56" t="s">
        <v>8</v>
      </c>
      <c r="E242" s="52"/>
      <c r="F242" s="52"/>
      <c r="G242" s="52"/>
      <c r="H242" s="52" t="s">
        <v>9</v>
      </c>
      <c r="I242" s="52"/>
      <c r="J242" s="52"/>
      <c r="K242" s="52"/>
      <c r="L242" s="52" t="s">
        <v>10</v>
      </c>
      <c r="M242" s="52"/>
      <c r="N242" s="52"/>
      <c r="O242" s="52"/>
      <c r="P242" s="52" t="s">
        <v>11</v>
      </c>
      <c r="Q242" s="52"/>
      <c r="R242" s="52"/>
      <c r="S242" s="52"/>
      <c r="T242" s="52" t="s">
        <v>12</v>
      </c>
      <c r="U242" s="52"/>
      <c r="V242" s="52"/>
      <c r="W242" s="52"/>
      <c r="X242" s="52" t="s">
        <v>13</v>
      </c>
      <c r="Y242" s="52"/>
      <c r="Z242" s="52"/>
      <c r="AA242" s="52"/>
      <c r="AB242" s="52" t="s">
        <v>14</v>
      </c>
      <c r="AC242" s="52"/>
      <c r="AD242" s="52"/>
      <c r="AE242" s="52"/>
      <c r="AF242" s="52" t="s">
        <v>15</v>
      </c>
      <c r="AG242" s="52"/>
      <c r="AH242" s="52"/>
      <c r="AI242" s="52"/>
      <c r="AJ242" s="52" t="s">
        <v>16</v>
      </c>
      <c r="AK242" s="52"/>
      <c r="AL242" s="52"/>
      <c r="AM242" s="52"/>
      <c r="AN242" s="8" t="s">
        <v>17</v>
      </c>
      <c r="AO242" s="8"/>
      <c r="AP242" s="8"/>
      <c r="AQ242" s="10"/>
    </row>
    <row r="243" spans="1:51" ht="15.75" thickBot="1" x14ac:dyDescent="0.3">
      <c r="A243" s="48" t="s">
        <v>19</v>
      </c>
      <c r="B243" s="49"/>
      <c r="C243" s="50"/>
      <c r="D243" s="51">
        <v>43054</v>
      </c>
      <c r="E243" s="52"/>
      <c r="F243" s="52"/>
      <c r="G243" s="52"/>
      <c r="H243" s="53">
        <v>43077</v>
      </c>
      <c r="I243" s="52"/>
      <c r="J243" s="52"/>
      <c r="K243" s="52"/>
      <c r="L243" s="53">
        <v>43085</v>
      </c>
      <c r="M243" s="52"/>
      <c r="N243" s="52"/>
      <c r="O243" s="52"/>
      <c r="P243" s="53">
        <v>43099</v>
      </c>
      <c r="Q243" s="52"/>
      <c r="R243" s="52"/>
      <c r="S243" s="52"/>
      <c r="T243" s="53"/>
      <c r="U243" s="52"/>
      <c r="V243" s="52"/>
      <c r="W243" s="52"/>
      <c r="X243" s="53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8"/>
      <c r="AO243" s="8"/>
      <c r="AP243" s="8"/>
      <c r="AQ243" s="10"/>
    </row>
    <row r="244" spans="1:51" ht="15.75" thickBot="1" x14ac:dyDescent="0.3">
      <c r="A244" s="2"/>
      <c r="B244" s="2"/>
      <c r="C244" s="2"/>
      <c r="D244" s="54">
        <v>215</v>
      </c>
      <c r="E244" s="55"/>
      <c r="F244" s="55"/>
      <c r="G244" s="55"/>
      <c r="H244" s="55">
        <v>215</v>
      </c>
      <c r="I244" s="55"/>
      <c r="J244" s="55"/>
      <c r="K244" s="55"/>
      <c r="L244" s="55">
        <v>215</v>
      </c>
      <c r="M244" s="55"/>
      <c r="N244" s="55"/>
      <c r="O244" s="55"/>
      <c r="P244" s="55">
        <v>215</v>
      </c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12"/>
      <c r="AO244" s="12"/>
      <c r="AP244" s="12"/>
      <c r="AQ244" s="13"/>
    </row>
    <row r="245" spans="1:5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 spans="1:51" ht="15.75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spans="1:51" ht="15.75" thickBot="1" x14ac:dyDescent="0.3">
      <c r="A247" s="2"/>
      <c r="B247" s="1">
        <v>31</v>
      </c>
      <c r="C247" s="14" t="s">
        <v>3</v>
      </c>
      <c r="D247" s="14"/>
      <c r="E247" s="14"/>
      <c r="F247" s="40" t="s">
        <v>4</v>
      </c>
      <c r="G247" s="40"/>
      <c r="H247" s="40"/>
      <c r="I247" s="40"/>
      <c r="J247" s="40"/>
      <c r="K247" s="40"/>
      <c r="L247" s="40" t="s">
        <v>5</v>
      </c>
      <c r="M247" s="40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16" t="s">
        <v>6</v>
      </c>
      <c r="AJ247" s="17"/>
      <c r="AK247" s="17"/>
      <c r="AL247" s="17"/>
      <c r="AM247" s="2"/>
      <c r="AN247" s="16" t="s">
        <v>7</v>
      </c>
      <c r="AO247" s="17"/>
      <c r="AP247" s="17"/>
      <c r="AQ247" s="17"/>
      <c r="AT247" s="18" t="s">
        <v>20</v>
      </c>
      <c r="AU247" s="19"/>
      <c r="AV247" s="19"/>
      <c r="AW247" s="19"/>
      <c r="AX247" s="19"/>
      <c r="AY247" s="20"/>
    </row>
    <row r="248" spans="1:51" ht="15.75" thickBot="1" x14ac:dyDescent="0.3">
      <c r="A248" s="2"/>
      <c r="B248" s="2"/>
      <c r="C248" s="38">
        <v>33969</v>
      </c>
      <c r="D248" s="39"/>
      <c r="E248" s="43"/>
      <c r="F248" s="44">
        <v>43068</v>
      </c>
      <c r="G248" s="45"/>
      <c r="H248" s="45"/>
      <c r="I248" s="45"/>
      <c r="J248" s="45"/>
      <c r="K248" s="46"/>
      <c r="L248" s="47">
        <v>4</v>
      </c>
      <c r="M248" s="47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7">
        <v>360</v>
      </c>
      <c r="AJ248" s="28"/>
      <c r="AK248" s="28"/>
      <c r="AL248" s="28"/>
      <c r="AM248" s="2"/>
      <c r="AN248" s="29">
        <f>AI248-D252-H252-L252-P252-T252-X252-AB252-AF252-AJ252-AN252</f>
        <v>0</v>
      </c>
      <c r="AO248" s="30"/>
      <c r="AP248" s="30"/>
      <c r="AQ248" s="30"/>
      <c r="AT248" s="31" t="s">
        <v>21</v>
      </c>
      <c r="AU248" s="32"/>
      <c r="AV248" s="32"/>
      <c r="AW248" s="32" t="s">
        <v>22</v>
      </c>
      <c r="AX248" s="32"/>
      <c r="AY248" s="33"/>
    </row>
    <row r="249" spans="1:51" ht="15.75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T249" s="34">
        <v>23</v>
      </c>
      <c r="AU249" s="35"/>
      <c r="AV249" s="35"/>
      <c r="AW249" s="35">
        <v>2</v>
      </c>
      <c r="AX249" s="35"/>
      <c r="AY249" s="36"/>
    </row>
    <row r="250" spans="1:51" ht="15.75" thickBot="1" x14ac:dyDescent="0.3">
      <c r="D250" s="37" t="s">
        <v>8</v>
      </c>
      <c r="E250" s="8"/>
      <c r="F250" s="8"/>
      <c r="G250" s="8"/>
      <c r="H250" s="8" t="s">
        <v>9</v>
      </c>
      <c r="I250" s="8"/>
      <c r="J250" s="8"/>
      <c r="K250" s="8"/>
      <c r="L250" s="8" t="s">
        <v>10</v>
      </c>
      <c r="M250" s="8"/>
      <c r="N250" s="8"/>
      <c r="O250" s="8"/>
      <c r="P250" s="8" t="s">
        <v>11</v>
      </c>
      <c r="Q250" s="8"/>
      <c r="R250" s="8"/>
      <c r="S250" s="8"/>
      <c r="T250" s="8" t="s">
        <v>12</v>
      </c>
      <c r="U250" s="8"/>
      <c r="V250" s="8"/>
      <c r="W250" s="8"/>
      <c r="X250" s="8" t="s">
        <v>13</v>
      </c>
      <c r="Y250" s="8"/>
      <c r="Z250" s="8"/>
      <c r="AA250" s="8"/>
      <c r="AB250" s="8" t="s">
        <v>14</v>
      </c>
      <c r="AC250" s="8"/>
      <c r="AD250" s="8"/>
      <c r="AE250" s="8"/>
      <c r="AF250" s="8" t="s">
        <v>15</v>
      </c>
      <c r="AG250" s="8"/>
      <c r="AH250" s="8"/>
      <c r="AI250" s="8"/>
      <c r="AJ250" s="8" t="s">
        <v>16</v>
      </c>
      <c r="AK250" s="8"/>
      <c r="AL250" s="8"/>
      <c r="AM250" s="8"/>
      <c r="AN250" s="8" t="s">
        <v>17</v>
      </c>
      <c r="AO250" s="8"/>
      <c r="AP250" s="8"/>
      <c r="AQ250" s="10"/>
    </row>
    <row r="251" spans="1:51" ht="15.75" thickBot="1" x14ac:dyDescent="0.3">
      <c r="A251" s="4" t="s">
        <v>19</v>
      </c>
      <c r="B251" s="5"/>
      <c r="C251" s="6"/>
      <c r="D251" s="7">
        <v>43085</v>
      </c>
      <c r="E251" s="8"/>
      <c r="F251" s="8"/>
      <c r="G251" s="8"/>
      <c r="H251" s="9">
        <v>43099</v>
      </c>
      <c r="I251" s="8"/>
      <c r="J251" s="8"/>
      <c r="K251" s="8"/>
      <c r="L251" s="9">
        <v>43113</v>
      </c>
      <c r="M251" s="8"/>
      <c r="N251" s="8"/>
      <c r="O251" s="8"/>
      <c r="P251" s="9">
        <v>43113</v>
      </c>
      <c r="Q251" s="8"/>
      <c r="R251" s="8"/>
      <c r="S251" s="8"/>
      <c r="T251" s="9"/>
      <c r="U251" s="8"/>
      <c r="V251" s="8"/>
      <c r="W251" s="8"/>
      <c r="X251" s="9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10"/>
    </row>
    <row r="252" spans="1:51" ht="15.75" thickBot="1" x14ac:dyDescent="0.3">
      <c r="D252" s="11">
        <v>90</v>
      </c>
      <c r="E252" s="12"/>
      <c r="F252" s="12"/>
      <c r="G252" s="12"/>
      <c r="H252" s="12">
        <v>90</v>
      </c>
      <c r="I252" s="12"/>
      <c r="J252" s="12"/>
      <c r="K252" s="12"/>
      <c r="L252" s="12">
        <v>90</v>
      </c>
      <c r="M252" s="12"/>
      <c r="N252" s="12"/>
      <c r="O252" s="12"/>
      <c r="P252" s="12">
        <v>90</v>
      </c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3"/>
    </row>
    <row r="254" spans="1:51" ht="15.75" thickBot="1" x14ac:dyDescent="0.3"/>
    <row r="255" spans="1:51" ht="15.75" thickBot="1" x14ac:dyDescent="0.3">
      <c r="B255" s="1">
        <v>32</v>
      </c>
      <c r="C255" s="14" t="s">
        <v>3</v>
      </c>
      <c r="D255" s="14"/>
      <c r="E255" s="14"/>
      <c r="F255" s="15" t="s">
        <v>4</v>
      </c>
      <c r="G255" s="15"/>
      <c r="H255" s="15"/>
      <c r="I255" s="15"/>
      <c r="J255" s="15"/>
      <c r="K255" s="15"/>
      <c r="L255" s="15" t="s">
        <v>5</v>
      </c>
      <c r="M255" s="15"/>
      <c r="AI255" s="16" t="s">
        <v>6</v>
      </c>
      <c r="AJ255" s="17"/>
      <c r="AK255" s="17"/>
      <c r="AL255" s="17"/>
      <c r="AN255" s="16" t="s">
        <v>7</v>
      </c>
      <c r="AO255" s="17"/>
      <c r="AP255" s="17"/>
      <c r="AQ255" s="17"/>
      <c r="AT255" s="18" t="s">
        <v>20</v>
      </c>
      <c r="AU255" s="19"/>
      <c r="AV255" s="19"/>
      <c r="AW255" s="19"/>
      <c r="AX255" s="19"/>
      <c r="AY255" s="20"/>
    </row>
    <row r="256" spans="1:51" ht="15.75" thickBot="1" x14ac:dyDescent="0.3">
      <c r="C256" s="38">
        <v>34551</v>
      </c>
      <c r="D256" s="39"/>
      <c r="E256" s="43"/>
      <c r="F256" s="23">
        <v>43093</v>
      </c>
      <c r="G256" s="24"/>
      <c r="H256" s="24"/>
      <c r="I256" s="24"/>
      <c r="J256" s="24"/>
      <c r="K256" s="25"/>
      <c r="L256" s="26">
        <v>4</v>
      </c>
      <c r="M256" s="26"/>
      <c r="AI256" s="27">
        <v>700</v>
      </c>
      <c r="AJ256" s="28"/>
      <c r="AK256" s="28"/>
      <c r="AL256" s="28"/>
      <c r="AN256" s="29">
        <f>AI256-D260-H260-L260-P260-T260-X260-AB260-AF260-AJ260-AN260</f>
        <v>0</v>
      </c>
      <c r="AO256" s="30"/>
      <c r="AP256" s="30"/>
      <c r="AQ256" s="30"/>
      <c r="AT256" s="31" t="s">
        <v>21</v>
      </c>
      <c r="AU256" s="32"/>
      <c r="AV256" s="32"/>
      <c r="AW256" s="32" t="s">
        <v>22</v>
      </c>
      <c r="AX256" s="32"/>
      <c r="AY256" s="33"/>
    </row>
    <row r="257" spans="1:51" ht="15.75" thickBot="1" x14ac:dyDescent="0.3">
      <c r="AT257" s="34">
        <v>1</v>
      </c>
      <c r="AU257" s="35"/>
      <c r="AV257" s="35"/>
      <c r="AW257" s="35">
        <v>4</v>
      </c>
      <c r="AX257" s="35"/>
      <c r="AY257" s="36"/>
    </row>
    <row r="258" spans="1:51" ht="15.75" thickBot="1" x14ac:dyDescent="0.3">
      <c r="D258" s="37" t="s">
        <v>8</v>
      </c>
      <c r="E258" s="8"/>
      <c r="F258" s="8"/>
      <c r="G258" s="8"/>
      <c r="H258" s="8" t="s">
        <v>9</v>
      </c>
      <c r="I258" s="8"/>
      <c r="J258" s="8"/>
      <c r="K258" s="8"/>
      <c r="L258" s="8" t="s">
        <v>10</v>
      </c>
      <c r="M258" s="8"/>
      <c r="N258" s="8"/>
      <c r="O258" s="8"/>
      <c r="P258" s="8" t="s">
        <v>11</v>
      </c>
      <c r="Q258" s="8"/>
      <c r="R258" s="8"/>
      <c r="S258" s="8"/>
      <c r="T258" s="8" t="s">
        <v>12</v>
      </c>
      <c r="U258" s="8"/>
      <c r="V258" s="8"/>
      <c r="W258" s="8"/>
      <c r="X258" s="8" t="s">
        <v>13</v>
      </c>
      <c r="Y258" s="8"/>
      <c r="Z258" s="8"/>
      <c r="AA258" s="8"/>
      <c r="AB258" s="8" t="s">
        <v>14</v>
      </c>
      <c r="AC258" s="8"/>
      <c r="AD258" s="8"/>
      <c r="AE258" s="8"/>
      <c r="AF258" s="8" t="s">
        <v>15</v>
      </c>
      <c r="AG258" s="8"/>
      <c r="AH258" s="8"/>
      <c r="AI258" s="8"/>
      <c r="AJ258" s="8" t="s">
        <v>16</v>
      </c>
      <c r="AK258" s="8"/>
      <c r="AL258" s="8"/>
      <c r="AM258" s="8"/>
      <c r="AN258" s="8" t="s">
        <v>17</v>
      </c>
      <c r="AO258" s="8"/>
      <c r="AP258" s="8"/>
      <c r="AQ258" s="10"/>
    </row>
    <row r="259" spans="1:51" ht="15.75" thickBot="1" x14ac:dyDescent="0.3">
      <c r="A259" s="4" t="s">
        <v>19</v>
      </c>
      <c r="B259" s="5"/>
      <c r="C259" s="6"/>
      <c r="D259" s="7">
        <v>43113</v>
      </c>
      <c r="E259" s="8"/>
      <c r="F259" s="8"/>
      <c r="G259" s="8"/>
      <c r="H259" s="9">
        <v>43130</v>
      </c>
      <c r="I259" s="8"/>
      <c r="J259" s="8"/>
      <c r="K259" s="8"/>
      <c r="L259" s="9">
        <v>43159</v>
      </c>
      <c r="M259" s="8"/>
      <c r="N259" s="8"/>
      <c r="O259" s="8"/>
      <c r="P259" s="9">
        <v>43174</v>
      </c>
      <c r="Q259" s="8"/>
      <c r="R259" s="8"/>
      <c r="S259" s="8"/>
      <c r="T259" s="9"/>
      <c r="U259" s="8"/>
      <c r="V259" s="8"/>
      <c r="W259" s="8"/>
      <c r="X259" s="9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10"/>
    </row>
    <row r="260" spans="1:51" ht="15.75" thickBot="1" x14ac:dyDescent="0.3">
      <c r="D260" s="11">
        <v>175</v>
      </c>
      <c r="E260" s="12"/>
      <c r="F260" s="12"/>
      <c r="G260" s="12"/>
      <c r="H260" s="12">
        <v>175</v>
      </c>
      <c r="I260" s="12"/>
      <c r="J260" s="12"/>
      <c r="K260" s="12"/>
      <c r="L260" s="12">
        <v>175</v>
      </c>
      <c r="M260" s="12"/>
      <c r="N260" s="12"/>
      <c r="O260" s="12"/>
      <c r="P260" s="12">
        <v>175</v>
      </c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3"/>
    </row>
    <row r="262" spans="1:51" ht="15.75" thickBot="1" x14ac:dyDescent="0.3"/>
    <row r="263" spans="1:51" ht="15.75" thickBot="1" x14ac:dyDescent="0.3">
      <c r="B263" s="1">
        <v>33</v>
      </c>
      <c r="C263" s="14" t="s">
        <v>3</v>
      </c>
      <c r="D263" s="14"/>
      <c r="E263" s="14"/>
      <c r="F263" s="15" t="s">
        <v>4</v>
      </c>
      <c r="G263" s="15"/>
      <c r="H263" s="15"/>
      <c r="I263" s="15"/>
      <c r="J263" s="15"/>
      <c r="K263" s="15"/>
      <c r="L263" s="15" t="s">
        <v>5</v>
      </c>
      <c r="M263" s="15"/>
      <c r="AI263" s="16" t="s">
        <v>6</v>
      </c>
      <c r="AJ263" s="17"/>
      <c r="AK263" s="17"/>
      <c r="AL263" s="17"/>
      <c r="AN263" s="16" t="s">
        <v>7</v>
      </c>
      <c r="AO263" s="17"/>
      <c r="AP263" s="17"/>
      <c r="AQ263" s="17"/>
      <c r="AT263" s="18" t="s">
        <v>20</v>
      </c>
      <c r="AU263" s="19"/>
      <c r="AV263" s="19"/>
      <c r="AW263" s="19"/>
      <c r="AX263" s="19"/>
      <c r="AY263" s="20"/>
    </row>
    <row r="264" spans="1:51" ht="15.75" thickBot="1" x14ac:dyDescent="0.3">
      <c r="C264" s="38">
        <v>34882</v>
      </c>
      <c r="D264" s="39"/>
      <c r="E264" s="43"/>
      <c r="F264" s="23">
        <v>43113</v>
      </c>
      <c r="G264" s="24"/>
      <c r="H264" s="24"/>
      <c r="I264" s="24"/>
      <c r="J264" s="24"/>
      <c r="K264" s="25"/>
      <c r="L264" s="26">
        <v>4</v>
      </c>
      <c r="M264" s="26"/>
      <c r="AI264" s="27">
        <v>335</v>
      </c>
      <c r="AJ264" s="28"/>
      <c r="AK264" s="28"/>
      <c r="AL264" s="28"/>
      <c r="AN264" s="29">
        <f>AI264-D268-H268-L268-P268-T268-X268-AB268-AF268-AJ268-AN268</f>
        <v>0</v>
      </c>
      <c r="AO264" s="30"/>
      <c r="AP264" s="30"/>
      <c r="AQ264" s="30"/>
      <c r="AT264" s="31" t="s">
        <v>21</v>
      </c>
      <c r="AU264" s="32"/>
      <c r="AV264" s="32"/>
      <c r="AW264" s="32" t="s">
        <v>22</v>
      </c>
      <c r="AX264" s="32"/>
      <c r="AY264" s="33"/>
    </row>
    <row r="265" spans="1:51" ht="15.75" thickBot="1" x14ac:dyDescent="0.3">
      <c r="AT265" s="34">
        <v>2</v>
      </c>
      <c r="AU265" s="35"/>
      <c r="AV265" s="35"/>
      <c r="AW265" s="35">
        <v>6</v>
      </c>
      <c r="AX265" s="35"/>
      <c r="AY265" s="36"/>
    </row>
    <row r="266" spans="1:51" ht="15.75" thickBot="1" x14ac:dyDescent="0.3">
      <c r="D266" s="37" t="s">
        <v>8</v>
      </c>
      <c r="E266" s="8"/>
      <c r="F266" s="8"/>
      <c r="G266" s="8"/>
      <c r="H266" s="8" t="s">
        <v>9</v>
      </c>
      <c r="I266" s="8"/>
      <c r="J266" s="8"/>
      <c r="K266" s="8"/>
      <c r="L266" s="8" t="s">
        <v>10</v>
      </c>
      <c r="M266" s="8"/>
      <c r="N266" s="8"/>
      <c r="O266" s="8"/>
      <c r="P266" s="8" t="s">
        <v>11</v>
      </c>
      <c r="Q266" s="8"/>
      <c r="R266" s="8"/>
      <c r="S266" s="8"/>
      <c r="T266" s="8" t="s">
        <v>12</v>
      </c>
      <c r="U266" s="8"/>
      <c r="V266" s="8"/>
      <c r="W266" s="8"/>
      <c r="X266" s="8" t="s">
        <v>13</v>
      </c>
      <c r="Y266" s="8"/>
      <c r="Z266" s="8"/>
      <c r="AA266" s="8"/>
      <c r="AB266" s="8" t="s">
        <v>14</v>
      </c>
      <c r="AC266" s="8"/>
      <c r="AD266" s="8"/>
      <c r="AE266" s="8"/>
      <c r="AF266" s="8" t="s">
        <v>15</v>
      </c>
      <c r="AG266" s="8"/>
      <c r="AH266" s="8"/>
      <c r="AI266" s="8"/>
      <c r="AJ266" s="8" t="s">
        <v>16</v>
      </c>
      <c r="AK266" s="8"/>
      <c r="AL266" s="8"/>
      <c r="AM266" s="8"/>
      <c r="AN266" s="8" t="s">
        <v>17</v>
      </c>
      <c r="AO266" s="8"/>
      <c r="AP266" s="8"/>
      <c r="AQ266" s="10"/>
    </row>
    <row r="267" spans="1:51" ht="15.75" thickBot="1" x14ac:dyDescent="0.3">
      <c r="A267" s="4" t="s">
        <v>19</v>
      </c>
      <c r="B267" s="5"/>
      <c r="C267" s="6"/>
      <c r="D267" s="7">
        <v>43130</v>
      </c>
      <c r="E267" s="8"/>
      <c r="F267" s="8"/>
      <c r="G267" s="8"/>
      <c r="H267" s="9">
        <v>43159</v>
      </c>
      <c r="I267" s="8"/>
      <c r="J267" s="8"/>
      <c r="K267" s="8"/>
      <c r="L267" s="9">
        <v>43174</v>
      </c>
      <c r="M267" s="8"/>
      <c r="N267" s="8"/>
      <c r="O267" s="8"/>
      <c r="P267" s="9">
        <v>43192</v>
      </c>
      <c r="Q267" s="8"/>
      <c r="R267" s="8"/>
      <c r="S267" s="8"/>
      <c r="T267" s="9"/>
      <c r="U267" s="8"/>
      <c r="V267" s="8"/>
      <c r="W267" s="8"/>
      <c r="X267" s="9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10"/>
    </row>
    <row r="268" spans="1:51" ht="15.75" thickBot="1" x14ac:dyDescent="0.3">
      <c r="D268" s="11">
        <v>84</v>
      </c>
      <c r="E268" s="12"/>
      <c r="F268" s="12"/>
      <c r="G268" s="12"/>
      <c r="H268" s="12">
        <v>84</v>
      </c>
      <c r="I268" s="12"/>
      <c r="J268" s="12"/>
      <c r="K268" s="12"/>
      <c r="L268" s="12">
        <v>84</v>
      </c>
      <c r="M268" s="12"/>
      <c r="N268" s="12"/>
      <c r="O268" s="12"/>
      <c r="P268" s="12">
        <v>83</v>
      </c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3"/>
    </row>
    <row r="270" spans="1:51" ht="15.75" thickBot="1" x14ac:dyDescent="0.3"/>
    <row r="271" spans="1:51" ht="15.75" thickBot="1" x14ac:dyDescent="0.3">
      <c r="B271" s="1">
        <v>34</v>
      </c>
      <c r="C271" s="14" t="s">
        <v>3</v>
      </c>
      <c r="D271" s="14"/>
      <c r="E271" s="14"/>
      <c r="F271" s="15" t="s">
        <v>4</v>
      </c>
      <c r="G271" s="15"/>
      <c r="H271" s="15"/>
      <c r="I271" s="15"/>
      <c r="J271" s="15"/>
      <c r="K271" s="15"/>
      <c r="L271" s="15" t="s">
        <v>5</v>
      </c>
      <c r="M271" s="15"/>
      <c r="AI271" s="16" t="s">
        <v>6</v>
      </c>
      <c r="AJ271" s="17"/>
      <c r="AK271" s="17"/>
      <c r="AL271" s="17"/>
      <c r="AN271" s="16" t="s">
        <v>7</v>
      </c>
      <c r="AO271" s="17"/>
      <c r="AP271" s="17"/>
      <c r="AQ271" s="17"/>
      <c r="AT271" s="18" t="s">
        <v>20</v>
      </c>
      <c r="AU271" s="19"/>
      <c r="AV271" s="19"/>
      <c r="AW271" s="19"/>
      <c r="AX271" s="19"/>
      <c r="AY271" s="20"/>
    </row>
    <row r="272" spans="1:51" ht="15.75" thickBot="1" x14ac:dyDescent="0.3">
      <c r="C272" s="38">
        <v>599</v>
      </c>
      <c r="D272" s="39"/>
      <c r="E272" s="43"/>
      <c r="F272" s="23">
        <v>43264</v>
      </c>
      <c r="G272" s="24"/>
      <c r="H272" s="24"/>
      <c r="I272" s="24"/>
      <c r="J272" s="24"/>
      <c r="K272" s="25"/>
      <c r="L272" s="26">
        <v>4</v>
      </c>
      <c r="M272" s="26"/>
      <c r="AI272" s="27">
        <v>260</v>
      </c>
      <c r="AJ272" s="28"/>
      <c r="AK272" s="28"/>
      <c r="AL272" s="28"/>
      <c r="AN272" s="29">
        <f>AI272-D276-H276-L276-P276-T276-X276-AB276-AF276-AJ276-AN276</f>
        <v>0</v>
      </c>
      <c r="AO272" s="30"/>
      <c r="AP272" s="30"/>
      <c r="AQ272" s="30"/>
      <c r="AT272" s="31" t="s">
        <v>21</v>
      </c>
      <c r="AU272" s="32"/>
      <c r="AV272" s="32"/>
      <c r="AW272" s="32" t="s">
        <v>22</v>
      </c>
      <c r="AX272" s="32"/>
      <c r="AY272" s="33"/>
    </row>
    <row r="273" spans="1:51" ht="15.75" thickBot="1" x14ac:dyDescent="0.3">
      <c r="AT273" s="34">
        <v>12</v>
      </c>
      <c r="AU273" s="35"/>
      <c r="AV273" s="35"/>
      <c r="AW273" s="35">
        <v>15</v>
      </c>
      <c r="AX273" s="35"/>
      <c r="AY273" s="36"/>
    </row>
    <row r="274" spans="1:51" ht="15.75" thickBot="1" x14ac:dyDescent="0.3">
      <c r="D274" s="37" t="s">
        <v>8</v>
      </c>
      <c r="E274" s="8"/>
      <c r="F274" s="8"/>
      <c r="G274" s="8"/>
      <c r="H274" s="8" t="s">
        <v>9</v>
      </c>
      <c r="I274" s="8"/>
      <c r="J274" s="8"/>
      <c r="K274" s="8"/>
      <c r="L274" s="8" t="s">
        <v>10</v>
      </c>
      <c r="M274" s="8"/>
      <c r="N274" s="8"/>
      <c r="O274" s="8"/>
      <c r="P274" s="8" t="s">
        <v>11</v>
      </c>
      <c r="Q274" s="8"/>
      <c r="R274" s="8"/>
      <c r="S274" s="8"/>
      <c r="T274" s="8" t="s">
        <v>12</v>
      </c>
      <c r="U274" s="8"/>
      <c r="V274" s="8"/>
      <c r="W274" s="8"/>
      <c r="X274" s="8" t="s">
        <v>13</v>
      </c>
      <c r="Y274" s="8"/>
      <c r="Z274" s="8"/>
      <c r="AA274" s="8"/>
      <c r="AB274" s="8" t="s">
        <v>14</v>
      </c>
      <c r="AC274" s="8"/>
      <c r="AD274" s="8"/>
      <c r="AE274" s="8"/>
      <c r="AF274" s="8" t="s">
        <v>15</v>
      </c>
      <c r="AG274" s="8"/>
      <c r="AH274" s="8"/>
      <c r="AI274" s="8"/>
      <c r="AJ274" s="8" t="s">
        <v>16</v>
      </c>
      <c r="AK274" s="8"/>
      <c r="AL274" s="8"/>
      <c r="AM274" s="8"/>
      <c r="AN274" s="8" t="s">
        <v>17</v>
      </c>
      <c r="AO274" s="8"/>
      <c r="AP274" s="8"/>
      <c r="AQ274" s="10"/>
    </row>
    <row r="275" spans="1:51" ht="15.75" thickBot="1" x14ac:dyDescent="0.3">
      <c r="A275" s="4" t="s">
        <v>19</v>
      </c>
      <c r="B275" s="5"/>
      <c r="C275" s="6"/>
      <c r="D275" s="7">
        <v>43287</v>
      </c>
      <c r="E275" s="8"/>
      <c r="F275" s="8"/>
      <c r="G275" s="8"/>
      <c r="H275" s="9">
        <v>43295</v>
      </c>
      <c r="I275" s="8"/>
      <c r="J275" s="8"/>
      <c r="K275" s="8"/>
      <c r="L275" s="9">
        <v>43312</v>
      </c>
      <c r="M275" s="8"/>
      <c r="N275" s="8"/>
      <c r="O275" s="8"/>
      <c r="P275" s="9">
        <v>43330</v>
      </c>
      <c r="Q275" s="8"/>
      <c r="R275" s="8"/>
      <c r="S275" s="8"/>
      <c r="T275" s="9"/>
      <c r="U275" s="8"/>
      <c r="V275" s="8"/>
      <c r="W275" s="8"/>
      <c r="X275" s="9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10"/>
    </row>
    <row r="276" spans="1:51" ht="15.75" thickBot="1" x14ac:dyDescent="0.3">
      <c r="D276" s="11">
        <v>65</v>
      </c>
      <c r="E276" s="12"/>
      <c r="F276" s="12"/>
      <c r="G276" s="12"/>
      <c r="H276" s="12">
        <v>65</v>
      </c>
      <c r="I276" s="12"/>
      <c r="J276" s="12"/>
      <c r="K276" s="12"/>
      <c r="L276" s="12">
        <v>65</v>
      </c>
      <c r="M276" s="12"/>
      <c r="N276" s="12"/>
      <c r="O276" s="12"/>
      <c r="P276" s="12">
        <v>65</v>
      </c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3"/>
    </row>
    <row r="278" spans="1:51" ht="15.75" thickBot="1" x14ac:dyDescent="0.3"/>
    <row r="279" spans="1:51" ht="15.75" thickBot="1" x14ac:dyDescent="0.3">
      <c r="B279" s="1">
        <v>35</v>
      </c>
      <c r="C279" s="14" t="s">
        <v>3</v>
      </c>
      <c r="D279" s="14"/>
      <c r="E279" s="14"/>
      <c r="F279" s="15" t="s">
        <v>4</v>
      </c>
      <c r="G279" s="15"/>
      <c r="H279" s="15"/>
      <c r="I279" s="15"/>
      <c r="J279" s="15"/>
      <c r="K279" s="15"/>
      <c r="L279" s="15" t="s">
        <v>5</v>
      </c>
      <c r="M279" s="15"/>
      <c r="AI279" s="16" t="s">
        <v>6</v>
      </c>
      <c r="AJ279" s="17"/>
      <c r="AK279" s="17"/>
      <c r="AL279" s="17"/>
      <c r="AN279" s="16" t="s">
        <v>7</v>
      </c>
      <c r="AO279" s="17"/>
      <c r="AP279" s="17"/>
      <c r="AQ279" s="17"/>
      <c r="AT279" s="18" t="s">
        <v>20</v>
      </c>
      <c r="AU279" s="19"/>
      <c r="AV279" s="19"/>
      <c r="AW279" s="19"/>
      <c r="AX279" s="19"/>
      <c r="AY279" s="20"/>
    </row>
    <row r="280" spans="1:51" ht="15.75" thickBot="1" x14ac:dyDescent="0.3">
      <c r="C280" s="38">
        <v>714</v>
      </c>
      <c r="D280" s="39"/>
      <c r="E280" s="43"/>
      <c r="F280" s="23">
        <v>43276</v>
      </c>
      <c r="G280" s="24"/>
      <c r="H280" s="24"/>
      <c r="I280" s="24"/>
      <c r="J280" s="24"/>
      <c r="K280" s="25"/>
      <c r="L280" s="26">
        <v>4</v>
      </c>
      <c r="M280" s="26"/>
      <c r="AI280" s="27">
        <v>440</v>
      </c>
      <c r="AJ280" s="28"/>
      <c r="AK280" s="28"/>
      <c r="AL280" s="28"/>
      <c r="AN280" s="29">
        <f>AI280-D284-H284-L284-P284-T284-X284-AB284-AF284-AJ284-AN284</f>
        <v>0</v>
      </c>
      <c r="AO280" s="30"/>
      <c r="AP280" s="30"/>
      <c r="AQ280" s="30"/>
      <c r="AT280" s="31" t="s">
        <v>21</v>
      </c>
      <c r="AU280" s="32"/>
      <c r="AV280" s="32"/>
      <c r="AW280" s="32" t="s">
        <v>22</v>
      </c>
      <c r="AX280" s="32"/>
      <c r="AY280" s="33"/>
    </row>
    <row r="281" spans="1:51" ht="15.75" thickBot="1" x14ac:dyDescent="0.3">
      <c r="AT281" s="34">
        <v>13</v>
      </c>
      <c r="AU281" s="35"/>
      <c r="AV281" s="35"/>
      <c r="AW281" s="35">
        <v>16</v>
      </c>
      <c r="AX281" s="35"/>
      <c r="AY281" s="36"/>
    </row>
    <row r="282" spans="1:51" ht="15.75" thickBot="1" x14ac:dyDescent="0.3">
      <c r="D282" s="37" t="s">
        <v>8</v>
      </c>
      <c r="E282" s="8"/>
      <c r="F282" s="8"/>
      <c r="G282" s="8"/>
      <c r="H282" s="8" t="s">
        <v>9</v>
      </c>
      <c r="I282" s="8"/>
      <c r="J282" s="8"/>
      <c r="K282" s="8"/>
      <c r="L282" s="8" t="s">
        <v>10</v>
      </c>
      <c r="M282" s="8"/>
      <c r="N282" s="8"/>
      <c r="O282" s="8"/>
      <c r="P282" s="8" t="s">
        <v>11</v>
      </c>
      <c r="Q282" s="8"/>
      <c r="R282" s="8"/>
      <c r="S282" s="8"/>
      <c r="T282" s="8" t="s">
        <v>12</v>
      </c>
      <c r="U282" s="8"/>
      <c r="V282" s="8"/>
      <c r="W282" s="8"/>
      <c r="X282" s="8" t="s">
        <v>13</v>
      </c>
      <c r="Y282" s="8"/>
      <c r="Z282" s="8"/>
      <c r="AA282" s="8"/>
      <c r="AB282" s="8" t="s">
        <v>14</v>
      </c>
      <c r="AC282" s="8"/>
      <c r="AD282" s="8"/>
      <c r="AE282" s="8"/>
      <c r="AF282" s="8" t="s">
        <v>15</v>
      </c>
      <c r="AG282" s="8"/>
      <c r="AH282" s="8"/>
      <c r="AI282" s="8"/>
      <c r="AJ282" s="8" t="s">
        <v>16</v>
      </c>
      <c r="AK282" s="8"/>
      <c r="AL282" s="8"/>
      <c r="AM282" s="8"/>
      <c r="AN282" s="8" t="s">
        <v>17</v>
      </c>
      <c r="AO282" s="8"/>
      <c r="AP282" s="8"/>
      <c r="AQ282" s="10"/>
    </row>
    <row r="283" spans="1:51" ht="15.75" thickBot="1" x14ac:dyDescent="0.3">
      <c r="A283" s="4" t="s">
        <v>19</v>
      </c>
      <c r="B283" s="5"/>
      <c r="C283" s="6"/>
      <c r="D283" s="7">
        <v>43295</v>
      </c>
      <c r="E283" s="8"/>
      <c r="F283" s="8"/>
      <c r="G283" s="8"/>
      <c r="H283" s="9">
        <v>43312</v>
      </c>
      <c r="I283" s="8"/>
      <c r="J283" s="8"/>
      <c r="K283" s="8"/>
      <c r="L283" s="9">
        <v>43322</v>
      </c>
      <c r="M283" s="8"/>
      <c r="N283" s="8"/>
      <c r="O283" s="8"/>
      <c r="P283" s="9"/>
      <c r="Q283" s="8"/>
      <c r="R283" s="8"/>
      <c r="S283" s="8"/>
      <c r="T283" s="9"/>
      <c r="U283" s="8"/>
      <c r="V283" s="8"/>
      <c r="W283" s="8"/>
      <c r="X283" s="9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10"/>
    </row>
    <row r="284" spans="1:51" ht="15.75" thickBot="1" x14ac:dyDescent="0.3">
      <c r="D284" s="11">
        <v>110</v>
      </c>
      <c r="E284" s="12"/>
      <c r="F284" s="12"/>
      <c r="G284" s="12"/>
      <c r="H284" s="12">
        <v>110</v>
      </c>
      <c r="I284" s="12"/>
      <c r="J284" s="12"/>
      <c r="K284" s="12"/>
      <c r="L284" s="12">
        <v>220</v>
      </c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3"/>
    </row>
    <row r="286" spans="1:51" ht="15.75" thickBot="1" x14ac:dyDescent="0.3"/>
    <row r="287" spans="1:51" ht="15.75" thickBot="1" x14ac:dyDescent="0.3">
      <c r="B287" s="1">
        <v>36</v>
      </c>
      <c r="C287" s="14" t="s">
        <v>3</v>
      </c>
      <c r="D287" s="14"/>
      <c r="E287" s="14"/>
      <c r="F287" s="15" t="s">
        <v>4</v>
      </c>
      <c r="G287" s="15"/>
      <c r="H287" s="15"/>
      <c r="I287" s="15"/>
      <c r="J287" s="15"/>
      <c r="K287" s="15"/>
      <c r="L287" s="15" t="s">
        <v>5</v>
      </c>
      <c r="M287" s="15"/>
      <c r="AI287" s="16" t="s">
        <v>6</v>
      </c>
      <c r="AJ287" s="17"/>
      <c r="AK287" s="17"/>
      <c r="AL287" s="17"/>
      <c r="AN287" s="16" t="s">
        <v>7</v>
      </c>
      <c r="AO287" s="17"/>
      <c r="AP287" s="17"/>
      <c r="AQ287" s="17"/>
      <c r="AT287" s="18" t="s">
        <v>20</v>
      </c>
      <c r="AU287" s="19"/>
      <c r="AV287" s="19"/>
      <c r="AW287" s="19"/>
      <c r="AX287" s="19"/>
      <c r="AY287" s="20"/>
    </row>
    <row r="288" spans="1:51" ht="15.75" thickBot="1" x14ac:dyDescent="0.3">
      <c r="C288" s="38">
        <v>880</v>
      </c>
      <c r="D288" s="39"/>
      <c r="E288" s="43"/>
      <c r="F288" s="23">
        <v>43287</v>
      </c>
      <c r="G288" s="24"/>
      <c r="H288" s="24"/>
      <c r="I288" s="24"/>
      <c r="J288" s="24"/>
      <c r="K288" s="25"/>
      <c r="L288" s="26">
        <v>4</v>
      </c>
      <c r="M288" s="26"/>
      <c r="AI288" s="27">
        <v>310</v>
      </c>
      <c r="AJ288" s="28"/>
      <c r="AK288" s="28"/>
      <c r="AL288" s="28"/>
      <c r="AN288" s="29">
        <f>AI288-D292-H292-L292-P292-T292-X292-AB292-AF292-AJ292-AN292</f>
        <v>0</v>
      </c>
      <c r="AO288" s="30"/>
      <c r="AP288" s="30"/>
      <c r="AQ288" s="30"/>
      <c r="AT288" s="31" t="s">
        <v>21</v>
      </c>
      <c r="AU288" s="32"/>
      <c r="AV288" s="32"/>
      <c r="AW288" s="32" t="s">
        <v>22</v>
      </c>
      <c r="AX288" s="32"/>
      <c r="AY288" s="33"/>
    </row>
    <row r="289" spans="1:51" ht="15.75" thickBot="1" x14ac:dyDescent="0.3">
      <c r="AT289" s="34">
        <v>13</v>
      </c>
      <c r="AU289" s="35"/>
      <c r="AV289" s="35"/>
      <c r="AW289" s="35">
        <v>16</v>
      </c>
      <c r="AX289" s="35"/>
      <c r="AY289" s="36"/>
    </row>
    <row r="290" spans="1:51" ht="15.75" thickBot="1" x14ac:dyDescent="0.3">
      <c r="D290" s="37" t="s">
        <v>8</v>
      </c>
      <c r="E290" s="8"/>
      <c r="F290" s="8"/>
      <c r="G290" s="8"/>
      <c r="H290" s="8" t="s">
        <v>9</v>
      </c>
      <c r="I290" s="8"/>
      <c r="J290" s="8"/>
      <c r="K290" s="8"/>
      <c r="L290" s="8" t="s">
        <v>10</v>
      </c>
      <c r="M290" s="8"/>
      <c r="N290" s="8"/>
      <c r="O290" s="8"/>
      <c r="P290" s="8" t="s">
        <v>11</v>
      </c>
      <c r="Q290" s="8"/>
      <c r="R290" s="8"/>
      <c r="S290" s="8"/>
      <c r="T290" s="8" t="s">
        <v>12</v>
      </c>
      <c r="U290" s="8"/>
      <c r="V290" s="8"/>
      <c r="W290" s="8"/>
      <c r="X290" s="8" t="s">
        <v>13</v>
      </c>
      <c r="Y290" s="8"/>
      <c r="Z290" s="8"/>
      <c r="AA290" s="8"/>
      <c r="AB290" s="8" t="s">
        <v>14</v>
      </c>
      <c r="AC290" s="8"/>
      <c r="AD290" s="8"/>
      <c r="AE290" s="8"/>
      <c r="AF290" s="8" t="s">
        <v>15</v>
      </c>
      <c r="AG290" s="8"/>
      <c r="AH290" s="8"/>
      <c r="AI290" s="8"/>
      <c r="AJ290" s="8" t="s">
        <v>16</v>
      </c>
      <c r="AK290" s="8"/>
      <c r="AL290" s="8"/>
      <c r="AM290" s="8"/>
      <c r="AN290" s="8" t="s">
        <v>17</v>
      </c>
      <c r="AO290" s="8"/>
      <c r="AP290" s="8"/>
      <c r="AQ290" s="10"/>
    </row>
    <row r="291" spans="1:51" ht="15.75" thickBot="1" x14ac:dyDescent="0.3">
      <c r="A291" s="4" t="s">
        <v>19</v>
      </c>
      <c r="B291" s="5"/>
      <c r="C291" s="6"/>
      <c r="D291" s="7">
        <v>43295</v>
      </c>
      <c r="E291" s="8"/>
      <c r="F291" s="8"/>
      <c r="G291" s="8"/>
      <c r="H291" s="9">
        <v>43313</v>
      </c>
      <c r="I291" s="8"/>
      <c r="J291" s="8"/>
      <c r="K291" s="8"/>
      <c r="L291" s="9">
        <v>43342</v>
      </c>
      <c r="M291" s="8"/>
      <c r="N291" s="8"/>
      <c r="O291" s="8"/>
      <c r="P291" s="9">
        <v>43372</v>
      </c>
      <c r="Q291" s="8"/>
      <c r="R291" s="8"/>
      <c r="S291" s="8"/>
      <c r="T291" s="9"/>
      <c r="U291" s="8"/>
      <c r="V291" s="8"/>
      <c r="W291" s="8"/>
      <c r="X291" s="9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10"/>
    </row>
    <row r="292" spans="1:51" ht="15.75" thickBot="1" x14ac:dyDescent="0.3">
      <c r="D292" s="11">
        <v>78</v>
      </c>
      <c r="E292" s="12"/>
      <c r="F292" s="12"/>
      <c r="G292" s="12"/>
      <c r="H292" s="12">
        <v>78</v>
      </c>
      <c r="I292" s="12"/>
      <c r="J292" s="12"/>
      <c r="K292" s="12"/>
      <c r="L292" s="12">
        <v>78</v>
      </c>
      <c r="M292" s="12"/>
      <c r="N292" s="12"/>
      <c r="O292" s="12"/>
      <c r="P292" s="12">
        <v>76</v>
      </c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3"/>
    </row>
    <row r="294" spans="1:51" ht="15.75" thickBot="1" x14ac:dyDescent="0.3"/>
    <row r="295" spans="1:51" ht="15.75" thickBot="1" x14ac:dyDescent="0.3">
      <c r="B295" s="1">
        <v>37</v>
      </c>
      <c r="C295" s="14" t="s">
        <v>3</v>
      </c>
      <c r="D295" s="14"/>
      <c r="E295" s="14"/>
      <c r="F295" s="15" t="s">
        <v>4</v>
      </c>
      <c r="G295" s="15"/>
      <c r="H295" s="15"/>
      <c r="I295" s="15"/>
      <c r="J295" s="15"/>
      <c r="K295" s="15"/>
      <c r="L295" s="15" t="s">
        <v>5</v>
      </c>
      <c r="M295" s="15"/>
      <c r="AI295" s="16" t="s">
        <v>6</v>
      </c>
      <c r="AJ295" s="17"/>
      <c r="AK295" s="17"/>
      <c r="AL295" s="17"/>
      <c r="AN295" s="16" t="s">
        <v>7</v>
      </c>
      <c r="AO295" s="17"/>
      <c r="AP295" s="17"/>
      <c r="AQ295" s="17"/>
      <c r="AT295" s="18" t="s">
        <v>20</v>
      </c>
      <c r="AU295" s="19"/>
      <c r="AV295" s="19"/>
      <c r="AW295" s="19"/>
      <c r="AX295" s="19"/>
      <c r="AY295" s="20"/>
    </row>
    <row r="296" spans="1:51" ht="15.75" thickBot="1" x14ac:dyDescent="0.3">
      <c r="C296" s="38">
        <v>1324</v>
      </c>
      <c r="D296" s="39"/>
      <c r="E296" s="43"/>
      <c r="F296" s="23">
        <v>43322</v>
      </c>
      <c r="G296" s="24"/>
      <c r="H296" s="24"/>
      <c r="I296" s="24"/>
      <c r="J296" s="24"/>
      <c r="K296" s="25"/>
      <c r="L296" s="26">
        <v>3</v>
      </c>
      <c r="M296" s="26"/>
      <c r="AI296" s="27">
        <v>340</v>
      </c>
      <c r="AJ296" s="28"/>
      <c r="AK296" s="28"/>
      <c r="AL296" s="28"/>
      <c r="AN296" s="29">
        <f>AI296-D300-H300-L300-P300-T300-X300-AB300-AF300-AJ300-AN300</f>
        <v>0</v>
      </c>
      <c r="AO296" s="30"/>
      <c r="AP296" s="30"/>
      <c r="AQ296" s="30"/>
      <c r="AT296" s="31" t="s">
        <v>21</v>
      </c>
      <c r="AU296" s="32"/>
      <c r="AV296" s="32"/>
      <c r="AW296" s="32" t="s">
        <v>22</v>
      </c>
      <c r="AX296" s="32"/>
      <c r="AY296" s="33"/>
    </row>
    <row r="297" spans="1:51" ht="15.75" thickBot="1" x14ac:dyDescent="0.3">
      <c r="AT297" s="34">
        <v>16</v>
      </c>
      <c r="AU297" s="35"/>
      <c r="AV297" s="35"/>
      <c r="AW297" s="35">
        <v>18</v>
      </c>
      <c r="AX297" s="35"/>
      <c r="AY297" s="36"/>
    </row>
    <row r="298" spans="1:51" ht="15.75" thickBot="1" x14ac:dyDescent="0.3">
      <c r="D298" s="37" t="s">
        <v>8</v>
      </c>
      <c r="E298" s="8"/>
      <c r="F298" s="8"/>
      <c r="G298" s="8"/>
      <c r="H298" s="8" t="s">
        <v>9</v>
      </c>
      <c r="I298" s="8"/>
      <c r="J298" s="8"/>
      <c r="K298" s="8"/>
      <c r="L298" s="8" t="s">
        <v>10</v>
      </c>
      <c r="M298" s="8"/>
      <c r="N298" s="8"/>
      <c r="O298" s="8"/>
      <c r="P298" s="8" t="s">
        <v>11</v>
      </c>
      <c r="Q298" s="8"/>
      <c r="R298" s="8"/>
      <c r="S298" s="8"/>
      <c r="T298" s="8" t="s">
        <v>12</v>
      </c>
      <c r="U298" s="8"/>
      <c r="V298" s="8"/>
      <c r="W298" s="8"/>
      <c r="X298" s="8" t="s">
        <v>13</v>
      </c>
      <c r="Y298" s="8"/>
      <c r="Z298" s="8"/>
      <c r="AA298" s="8"/>
      <c r="AB298" s="8" t="s">
        <v>14</v>
      </c>
      <c r="AC298" s="8"/>
      <c r="AD298" s="8"/>
      <c r="AE298" s="8"/>
      <c r="AF298" s="8" t="s">
        <v>15</v>
      </c>
      <c r="AG298" s="8"/>
      <c r="AH298" s="8"/>
      <c r="AI298" s="8"/>
      <c r="AJ298" s="8" t="s">
        <v>16</v>
      </c>
      <c r="AK298" s="8"/>
      <c r="AL298" s="8"/>
      <c r="AM298" s="8"/>
      <c r="AN298" s="8" t="s">
        <v>17</v>
      </c>
      <c r="AO298" s="8"/>
      <c r="AP298" s="8"/>
      <c r="AQ298" s="10"/>
    </row>
    <row r="299" spans="1:51" ht="15.75" thickBot="1" x14ac:dyDescent="0.3">
      <c r="A299" s="4" t="s">
        <v>19</v>
      </c>
      <c r="B299" s="5"/>
      <c r="C299" s="6"/>
      <c r="D299" s="7">
        <v>43342</v>
      </c>
      <c r="E299" s="8"/>
      <c r="F299" s="8"/>
      <c r="G299" s="8"/>
      <c r="H299" s="9">
        <v>43372</v>
      </c>
      <c r="I299" s="8"/>
      <c r="J299" s="8"/>
      <c r="K299" s="8"/>
      <c r="L299" s="9">
        <v>43411</v>
      </c>
      <c r="M299" s="8"/>
      <c r="N299" s="8"/>
      <c r="O299" s="8"/>
      <c r="P299" s="9">
        <v>43423</v>
      </c>
      <c r="Q299" s="8"/>
      <c r="R299" s="8"/>
      <c r="S299" s="8"/>
      <c r="T299" s="9"/>
      <c r="U299" s="8"/>
      <c r="V299" s="8"/>
      <c r="W299" s="8"/>
      <c r="X299" s="9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10"/>
    </row>
    <row r="300" spans="1:51" ht="15.75" thickBot="1" x14ac:dyDescent="0.3">
      <c r="D300" s="11">
        <v>85</v>
      </c>
      <c r="E300" s="12"/>
      <c r="F300" s="12"/>
      <c r="G300" s="12"/>
      <c r="H300" s="12">
        <v>85</v>
      </c>
      <c r="I300" s="12"/>
      <c r="J300" s="12"/>
      <c r="K300" s="12"/>
      <c r="L300" s="12">
        <v>85</v>
      </c>
      <c r="M300" s="12"/>
      <c r="N300" s="12"/>
      <c r="O300" s="12"/>
      <c r="P300" s="12">
        <v>85</v>
      </c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3"/>
    </row>
    <row r="302" spans="1:51" ht="15.75" thickBot="1" x14ac:dyDescent="0.3"/>
    <row r="303" spans="1:51" ht="15.75" thickBot="1" x14ac:dyDescent="0.3">
      <c r="B303" s="1">
        <v>38</v>
      </c>
      <c r="C303" s="14" t="s">
        <v>3</v>
      </c>
      <c r="D303" s="14"/>
      <c r="E303" s="14"/>
      <c r="F303" s="15" t="s">
        <v>4</v>
      </c>
      <c r="G303" s="15"/>
      <c r="H303" s="15"/>
      <c r="I303" s="15"/>
      <c r="J303" s="15"/>
      <c r="K303" s="15"/>
      <c r="L303" s="15" t="s">
        <v>5</v>
      </c>
      <c r="M303" s="15"/>
      <c r="AI303" s="16" t="s">
        <v>6</v>
      </c>
      <c r="AJ303" s="17"/>
      <c r="AK303" s="17"/>
      <c r="AL303" s="17"/>
      <c r="AN303" s="16" t="s">
        <v>7</v>
      </c>
      <c r="AO303" s="17"/>
      <c r="AP303" s="17"/>
      <c r="AQ303" s="17"/>
      <c r="AT303" s="18" t="s">
        <v>20</v>
      </c>
      <c r="AU303" s="19"/>
      <c r="AV303" s="19"/>
      <c r="AW303" s="19"/>
      <c r="AX303" s="19"/>
      <c r="AY303" s="20"/>
    </row>
    <row r="304" spans="1:51" ht="15.75" thickBot="1" x14ac:dyDescent="0.3">
      <c r="C304" s="38">
        <v>1803</v>
      </c>
      <c r="D304" s="39"/>
      <c r="E304" s="39"/>
      <c r="F304" s="23">
        <v>43357</v>
      </c>
      <c r="G304" s="24"/>
      <c r="H304" s="24"/>
      <c r="I304" s="24"/>
      <c r="J304" s="24"/>
      <c r="K304" s="25"/>
      <c r="L304" s="26">
        <v>3</v>
      </c>
      <c r="M304" s="26"/>
      <c r="AI304" s="27">
        <v>360</v>
      </c>
      <c r="AJ304" s="28"/>
      <c r="AK304" s="28"/>
      <c r="AL304" s="28"/>
      <c r="AN304" s="29">
        <f>AI304-D308-H308-L308-P308-T308-X308-AB308-AF308-AJ308-AN308</f>
        <v>0</v>
      </c>
      <c r="AO304" s="30"/>
      <c r="AP304" s="30"/>
      <c r="AQ304" s="30"/>
      <c r="AT304" s="31" t="s">
        <v>21</v>
      </c>
      <c r="AU304" s="32"/>
      <c r="AV304" s="32"/>
      <c r="AW304" s="32" t="s">
        <v>22</v>
      </c>
      <c r="AX304" s="32"/>
      <c r="AY304" s="33"/>
    </row>
    <row r="305" spans="1:51" ht="15.75" thickBot="1" x14ac:dyDescent="0.3">
      <c r="AT305" s="34">
        <v>18</v>
      </c>
      <c r="AU305" s="35"/>
      <c r="AV305" s="35"/>
      <c r="AW305" s="35">
        <v>20</v>
      </c>
      <c r="AX305" s="35"/>
      <c r="AY305" s="36"/>
    </row>
    <row r="306" spans="1:51" ht="15.75" thickBot="1" x14ac:dyDescent="0.3">
      <c r="D306" s="37" t="s">
        <v>8</v>
      </c>
      <c r="E306" s="8"/>
      <c r="F306" s="8"/>
      <c r="G306" s="8"/>
      <c r="H306" s="8" t="s">
        <v>9</v>
      </c>
      <c r="I306" s="8"/>
      <c r="J306" s="8"/>
      <c r="K306" s="8"/>
      <c r="L306" s="8" t="s">
        <v>10</v>
      </c>
      <c r="M306" s="8"/>
      <c r="N306" s="8"/>
      <c r="O306" s="8"/>
      <c r="P306" s="8" t="s">
        <v>11</v>
      </c>
      <c r="Q306" s="8"/>
      <c r="R306" s="8"/>
      <c r="S306" s="8"/>
      <c r="T306" s="8" t="s">
        <v>12</v>
      </c>
      <c r="U306" s="8"/>
      <c r="V306" s="8"/>
      <c r="W306" s="8"/>
      <c r="X306" s="8" t="s">
        <v>13</v>
      </c>
      <c r="Y306" s="8"/>
      <c r="Z306" s="8"/>
      <c r="AA306" s="8"/>
      <c r="AB306" s="8" t="s">
        <v>14</v>
      </c>
      <c r="AC306" s="8"/>
      <c r="AD306" s="8"/>
      <c r="AE306" s="8"/>
      <c r="AF306" s="8" t="s">
        <v>15</v>
      </c>
      <c r="AG306" s="8"/>
      <c r="AH306" s="8"/>
      <c r="AI306" s="8"/>
      <c r="AJ306" s="8" t="s">
        <v>16</v>
      </c>
      <c r="AK306" s="8"/>
      <c r="AL306" s="8"/>
      <c r="AM306" s="8"/>
      <c r="AN306" s="8" t="s">
        <v>17</v>
      </c>
      <c r="AO306" s="8"/>
      <c r="AP306" s="8"/>
      <c r="AQ306" s="10"/>
    </row>
    <row r="307" spans="1:51" ht="15.75" thickBot="1" x14ac:dyDescent="0.3">
      <c r="A307" s="4" t="s">
        <v>19</v>
      </c>
      <c r="B307" s="5"/>
      <c r="C307" s="6"/>
      <c r="D307" s="7">
        <v>43372</v>
      </c>
      <c r="E307" s="8"/>
      <c r="F307" s="8"/>
      <c r="G307" s="8"/>
      <c r="H307" s="9">
        <v>43411</v>
      </c>
      <c r="I307" s="8"/>
      <c r="J307" s="8"/>
      <c r="K307" s="8"/>
      <c r="L307" s="9">
        <v>43423</v>
      </c>
      <c r="M307" s="8"/>
      <c r="N307" s="8"/>
      <c r="O307" s="8"/>
      <c r="P307" s="9">
        <v>43452</v>
      </c>
      <c r="Q307" s="8"/>
      <c r="R307" s="8"/>
      <c r="S307" s="8"/>
      <c r="T307" s="9"/>
      <c r="U307" s="8"/>
      <c r="V307" s="8"/>
      <c r="W307" s="8"/>
      <c r="X307" s="9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10"/>
    </row>
    <row r="308" spans="1:51" ht="15.75" thickBot="1" x14ac:dyDescent="0.3">
      <c r="D308" s="11">
        <v>90</v>
      </c>
      <c r="E308" s="12"/>
      <c r="F308" s="12"/>
      <c r="G308" s="12"/>
      <c r="H308" s="12">
        <v>90</v>
      </c>
      <c r="I308" s="12"/>
      <c r="J308" s="12"/>
      <c r="K308" s="12"/>
      <c r="L308" s="12">
        <v>90</v>
      </c>
      <c r="M308" s="12"/>
      <c r="N308" s="12"/>
      <c r="O308" s="12"/>
      <c r="P308" s="12">
        <v>90</v>
      </c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3"/>
    </row>
    <row r="310" spans="1:51" ht="15.75" thickBot="1" x14ac:dyDescent="0.3"/>
    <row r="311" spans="1:51" ht="15.75" thickBot="1" x14ac:dyDescent="0.3">
      <c r="B311" s="1">
        <v>39</v>
      </c>
      <c r="C311" s="14" t="s">
        <v>3</v>
      </c>
      <c r="D311" s="14"/>
      <c r="E311" s="14"/>
      <c r="F311" s="15" t="s">
        <v>4</v>
      </c>
      <c r="G311" s="15"/>
      <c r="H311" s="15"/>
      <c r="I311" s="15"/>
      <c r="J311" s="15"/>
      <c r="K311" s="15"/>
      <c r="L311" s="15" t="s">
        <v>5</v>
      </c>
      <c r="M311" s="15"/>
      <c r="AI311" s="16" t="s">
        <v>6</v>
      </c>
      <c r="AJ311" s="17"/>
      <c r="AK311" s="17"/>
      <c r="AL311" s="17"/>
      <c r="AN311" s="16" t="s">
        <v>7</v>
      </c>
      <c r="AO311" s="17"/>
      <c r="AP311" s="17"/>
      <c r="AQ311" s="17"/>
      <c r="AT311" s="18" t="s">
        <v>20</v>
      </c>
      <c r="AU311" s="19"/>
      <c r="AV311" s="19"/>
      <c r="AW311" s="19"/>
      <c r="AX311" s="19"/>
      <c r="AY311" s="20"/>
    </row>
    <row r="312" spans="1:51" ht="15.75" thickBot="1" x14ac:dyDescent="0.3">
      <c r="C312" s="41">
        <v>2559</v>
      </c>
      <c r="D312" s="42"/>
      <c r="E312" s="42"/>
      <c r="F312" s="23">
        <v>43423</v>
      </c>
      <c r="G312" s="24"/>
      <c r="H312" s="24"/>
      <c r="I312" s="24"/>
      <c r="J312" s="24"/>
      <c r="K312" s="25"/>
      <c r="L312" s="26">
        <v>4</v>
      </c>
      <c r="M312" s="26"/>
      <c r="R312" s="1" t="s">
        <v>26</v>
      </c>
      <c r="S312" s="1"/>
      <c r="T312" s="1"/>
      <c r="U312" s="1"/>
      <c r="V312" s="1"/>
      <c r="W312" s="1"/>
      <c r="X312" s="1"/>
      <c r="Y312" s="1"/>
      <c r="Z312" s="1"/>
      <c r="AA312" s="1"/>
      <c r="AI312" s="27">
        <v>770</v>
      </c>
      <c r="AJ312" s="28"/>
      <c r="AK312" s="28"/>
      <c r="AL312" s="28"/>
      <c r="AN312" s="29">
        <f>AI312-D316-H316-L316-P316-T316-X316-AB316-AF316-AJ316-AN316</f>
        <v>0</v>
      </c>
      <c r="AO312" s="30"/>
      <c r="AP312" s="30"/>
      <c r="AQ312" s="30"/>
      <c r="AT312" s="31" t="s">
        <v>21</v>
      </c>
      <c r="AU312" s="32"/>
      <c r="AV312" s="32"/>
      <c r="AW312" s="32" t="s">
        <v>22</v>
      </c>
      <c r="AX312" s="32"/>
      <c r="AY312" s="33"/>
    </row>
    <row r="313" spans="1:51" ht="15.75" thickBot="1" x14ac:dyDescent="0.3">
      <c r="R313" s="1"/>
      <c r="S313" s="1"/>
      <c r="T313" s="1"/>
      <c r="U313" s="1"/>
      <c r="V313" s="1"/>
      <c r="W313" s="1"/>
      <c r="X313" s="1"/>
      <c r="Y313" s="1"/>
      <c r="Z313" s="1"/>
      <c r="AA313" s="1"/>
      <c r="AT313" s="34">
        <v>22</v>
      </c>
      <c r="AU313" s="35"/>
      <c r="AV313" s="35"/>
      <c r="AW313" s="35">
        <v>1</v>
      </c>
      <c r="AX313" s="35"/>
      <c r="AY313" s="36"/>
    </row>
    <row r="314" spans="1:51" ht="15.75" thickBot="1" x14ac:dyDescent="0.3">
      <c r="D314" s="37" t="s">
        <v>8</v>
      </c>
      <c r="E314" s="8"/>
      <c r="F314" s="8"/>
      <c r="G314" s="8"/>
      <c r="H314" s="8" t="s">
        <v>9</v>
      </c>
      <c r="I314" s="8"/>
      <c r="J314" s="8"/>
      <c r="K314" s="8"/>
      <c r="L314" s="8" t="s">
        <v>10</v>
      </c>
      <c r="M314" s="8"/>
      <c r="N314" s="8"/>
      <c r="O314" s="8"/>
      <c r="P314" s="8" t="s">
        <v>11</v>
      </c>
      <c r="Q314" s="8"/>
      <c r="R314" s="8"/>
      <c r="S314" s="8"/>
      <c r="T314" s="8" t="s">
        <v>12</v>
      </c>
      <c r="U314" s="8"/>
      <c r="V314" s="8"/>
      <c r="W314" s="8"/>
      <c r="X314" s="8" t="s">
        <v>13</v>
      </c>
      <c r="Y314" s="8"/>
      <c r="Z314" s="8"/>
      <c r="AA314" s="8"/>
      <c r="AB314" s="8" t="s">
        <v>14</v>
      </c>
      <c r="AC314" s="8"/>
      <c r="AD314" s="8"/>
      <c r="AE314" s="8"/>
      <c r="AF314" s="8" t="s">
        <v>15</v>
      </c>
      <c r="AG314" s="8"/>
      <c r="AH314" s="8"/>
      <c r="AI314" s="8"/>
      <c r="AJ314" s="8" t="s">
        <v>16</v>
      </c>
      <c r="AK314" s="8"/>
      <c r="AL314" s="8"/>
      <c r="AM314" s="8"/>
      <c r="AN314" s="8" t="s">
        <v>17</v>
      </c>
      <c r="AO314" s="8"/>
      <c r="AP314" s="8"/>
      <c r="AQ314" s="10"/>
    </row>
    <row r="315" spans="1:51" ht="15.75" thickBot="1" x14ac:dyDescent="0.3">
      <c r="A315" s="4" t="s">
        <v>19</v>
      </c>
      <c r="B315" s="5"/>
      <c r="C315" s="6"/>
      <c r="D315" s="7">
        <v>43452</v>
      </c>
      <c r="E315" s="8"/>
      <c r="F315" s="8"/>
      <c r="G315" s="8"/>
      <c r="H315" s="9">
        <v>43479</v>
      </c>
      <c r="I315" s="8"/>
      <c r="J315" s="8"/>
      <c r="K315" s="8"/>
      <c r="L315" s="9">
        <v>43511</v>
      </c>
      <c r="M315" s="8"/>
      <c r="N315" s="8"/>
      <c r="O315" s="8"/>
      <c r="P315" s="9"/>
      <c r="Q315" s="8"/>
      <c r="R315" s="8"/>
      <c r="S315" s="8"/>
      <c r="T315" s="9"/>
      <c r="U315" s="8"/>
      <c r="V315" s="8"/>
      <c r="W315" s="8"/>
      <c r="X315" s="9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10"/>
    </row>
    <row r="316" spans="1:51" ht="15.75" thickBot="1" x14ac:dyDescent="0.3">
      <c r="D316" s="11">
        <v>193</v>
      </c>
      <c r="E316" s="12"/>
      <c r="F316" s="12"/>
      <c r="G316" s="12"/>
      <c r="H316" s="12">
        <v>193</v>
      </c>
      <c r="I316" s="12"/>
      <c r="J316" s="12"/>
      <c r="K316" s="12"/>
      <c r="L316" s="12">
        <v>384</v>
      </c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3"/>
    </row>
    <row r="318" spans="1:51" ht="15.75" thickBot="1" x14ac:dyDescent="0.3"/>
    <row r="319" spans="1:51" ht="15.75" thickBot="1" x14ac:dyDescent="0.3">
      <c r="B319" s="1">
        <v>40</v>
      </c>
      <c r="C319" s="14" t="s">
        <v>3</v>
      </c>
      <c r="D319" s="14"/>
      <c r="E319" s="14"/>
      <c r="F319" s="40" t="s">
        <v>4</v>
      </c>
      <c r="G319" s="40"/>
      <c r="H319" s="40"/>
      <c r="I319" s="40"/>
      <c r="J319" s="40"/>
      <c r="K319" s="40"/>
      <c r="L319" s="15" t="s">
        <v>5</v>
      </c>
      <c r="M319" s="15"/>
      <c r="AI319" s="16" t="s">
        <v>6</v>
      </c>
      <c r="AJ319" s="17"/>
      <c r="AK319" s="17"/>
      <c r="AL319" s="17"/>
      <c r="AN319" s="16" t="s">
        <v>7</v>
      </c>
      <c r="AO319" s="17"/>
      <c r="AP319" s="17"/>
      <c r="AQ319" s="17"/>
      <c r="AT319" s="18" t="s">
        <v>20</v>
      </c>
      <c r="AU319" s="19"/>
      <c r="AV319" s="19"/>
      <c r="AW319" s="19"/>
      <c r="AX319" s="19"/>
      <c r="AY319" s="20"/>
    </row>
    <row r="320" spans="1:51" ht="15.75" thickBot="1" x14ac:dyDescent="0.3">
      <c r="C320" s="21">
        <v>3089</v>
      </c>
      <c r="D320" s="22"/>
      <c r="E320" s="22"/>
      <c r="F320" s="23">
        <v>43458</v>
      </c>
      <c r="G320" s="24"/>
      <c r="H320" s="24"/>
      <c r="I320" s="24"/>
      <c r="J320" s="24"/>
      <c r="K320" s="25"/>
      <c r="L320" s="26">
        <v>4</v>
      </c>
      <c r="M320" s="26"/>
      <c r="AI320" s="27">
        <v>420</v>
      </c>
      <c r="AJ320" s="28"/>
      <c r="AK320" s="28"/>
      <c r="AL320" s="28"/>
      <c r="AN320" s="29">
        <f>AI320-D324-H324-L324-P324-T324-X324-AB324-AF324-AJ324-AN324</f>
        <v>0</v>
      </c>
      <c r="AO320" s="30"/>
      <c r="AP320" s="30"/>
      <c r="AQ320" s="30"/>
      <c r="AT320" s="31" t="s">
        <v>21</v>
      </c>
      <c r="AU320" s="32"/>
      <c r="AV320" s="32"/>
      <c r="AW320" s="32" t="s">
        <v>22</v>
      </c>
      <c r="AX320" s="32"/>
      <c r="AY320" s="33"/>
    </row>
    <row r="321" spans="1:51" ht="15.75" thickBot="1" x14ac:dyDescent="0.3">
      <c r="AT321" s="34">
        <v>1</v>
      </c>
      <c r="AU321" s="35"/>
      <c r="AV321" s="35"/>
      <c r="AW321" s="35">
        <v>3</v>
      </c>
      <c r="AX321" s="35"/>
      <c r="AY321" s="36"/>
    </row>
    <row r="322" spans="1:51" ht="15.75" thickBot="1" x14ac:dyDescent="0.3">
      <c r="D322" s="37" t="s">
        <v>8</v>
      </c>
      <c r="E322" s="8"/>
      <c r="F322" s="8"/>
      <c r="G322" s="8"/>
      <c r="H322" s="8" t="s">
        <v>9</v>
      </c>
      <c r="I322" s="8"/>
      <c r="J322" s="8"/>
      <c r="K322" s="8"/>
      <c r="L322" s="8" t="s">
        <v>10</v>
      </c>
      <c r="M322" s="8"/>
      <c r="N322" s="8"/>
      <c r="O322" s="8"/>
      <c r="P322" s="8" t="s">
        <v>11</v>
      </c>
      <c r="Q322" s="8"/>
      <c r="R322" s="8"/>
      <c r="S322" s="8"/>
      <c r="T322" s="8" t="s">
        <v>12</v>
      </c>
      <c r="U322" s="8"/>
      <c r="V322" s="8"/>
      <c r="W322" s="8"/>
      <c r="X322" s="8" t="s">
        <v>13</v>
      </c>
      <c r="Y322" s="8"/>
      <c r="Z322" s="8"/>
      <c r="AA322" s="8"/>
      <c r="AB322" s="8" t="s">
        <v>14</v>
      </c>
      <c r="AC322" s="8"/>
      <c r="AD322" s="8"/>
      <c r="AE322" s="8"/>
      <c r="AF322" s="8" t="s">
        <v>15</v>
      </c>
      <c r="AG322" s="8"/>
      <c r="AH322" s="8"/>
      <c r="AI322" s="8"/>
      <c r="AJ322" s="8" t="s">
        <v>16</v>
      </c>
      <c r="AK322" s="8"/>
      <c r="AL322" s="8"/>
      <c r="AM322" s="8"/>
      <c r="AN322" s="8" t="s">
        <v>17</v>
      </c>
      <c r="AO322" s="8"/>
      <c r="AP322" s="8"/>
      <c r="AQ322" s="10"/>
    </row>
    <row r="323" spans="1:51" ht="15.75" thickBot="1" x14ac:dyDescent="0.3">
      <c r="A323" s="4" t="s">
        <v>19</v>
      </c>
      <c r="B323" s="5"/>
      <c r="C323" s="6"/>
      <c r="D323" s="7">
        <v>43479</v>
      </c>
      <c r="E323" s="8"/>
      <c r="F323" s="8"/>
      <c r="G323" s="8"/>
      <c r="H323" s="9">
        <v>43525</v>
      </c>
      <c r="I323" s="8"/>
      <c r="J323" s="8"/>
      <c r="K323" s="8"/>
      <c r="L323" s="9">
        <v>43538</v>
      </c>
      <c r="M323" s="8"/>
      <c r="N323" s="8"/>
      <c r="O323" s="8"/>
      <c r="P323" s="9">
        <v>43553</v>
      </c>
      <c r="Q323" s="8"/>
      <c r="R323" s="8"/>
      <c r="S323" s="8"/>
      <c r="T323" s="9"/>
      <c r="U323" s="8"/>
      <c r="V323" s="8"/>
      <c r="W323" s="8"/>
      <c r="X323" s="9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10"/>
    </row>
    <row r="324" spans="1:51" ht="15.75" thickBot="1" x14ac:dyDescent="0.3">
      <c r="D324" s="11">
        <v>105</v>
      </c>
      <c r="E324" s="12"/>
      <c r="F324" s="12"/>
      <c r="G324" s="12"/>
      <c r="H324" s="12">
        <v>105</v>
      </c>
      <c r="I324" s="12"/>
      <c r="J324" s="12"/>
      <c r="K324" s="12"/>
      <c r="L324" s="12">
        <v>105</v>
      </c>
      <c r="M324" s="12"/>
      <c r="N324" s="12"/>
      <c r="O324" s="12"/>
      <c r="P324" s="12">
        <v>105</v>
      </c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3"/>
    </row>
    <row r="326" spans="1:51" ht="15.75" thickBot="1" x14ac:dyDescent="0.3"/>
    <row r="327" spans="1:51" ht="15.75" thickBot="1" x14ac:dyDescent="0.3">
      <c r="B327" s="1">
        <v>41</v>
      </c>
      <c r="C327" s="14" t="s">
        <v>3</v>
      </c>
      <c r="D327" s="14"/>
      <c r="E327" s="14"/>
      <c r="F327" s="15" t="s">
        <v>4</v>
      </c>
      <c r="G327" s="15"/>
      <c r="H327" s="15"/>
      <c r="I327" s="15"/>
      <c r="J327" s="15"/>
      <c r="K327" s="15"/>
      <c r="L327" s="15" t="s">
        <v>5</v>
      </c>
      <c r="M327" s="15"/>
      <c r="AI327" s="16" t="s">
        <v>6</v>
      </c>
      <c r="AJ327" s="17"/>
      <c r="AK327" s="17"/>
      <c r="AL327" s="17"/>
      <c r="AN327" s="16" t="s">
        <v>7</v>
      </c>
      <c r="AO327" s="17"/>
      <c r="AP327" s="17"/>
      <c r="AQ327" s="17"/>
      <c r="AT327" s="18" t="s">
        <v>20</v>
      </c>
      <c r="AU327" s="19"/>
      <c r="AV327" s="19"/>
      <c r="AW327" s="19"/>
      <c r="AX327" s="19"/>
      <c r="AY327" s="20"/>
    </row>
    <row r="328" spans="1:51" ht="15.75" thickBot="1" x14ac:dyDescent="0.3">
      <c r="C328" s="21">
        <v>3338</v>
      </c>
      <c r="D328" s="22"/>
      <c r="E328" s="22"/>
      <c r="F328" s="23">
        <v>43487</v>
      </c>
      <c r="G328" s="24"/>
      <c r="H328" s="24"/>
      <c r="I328" s="24"/>
      <c r="J328" s="24"/>
      <c r="K328" s="25"/>
      <c r="L328" s="26">
        <v>3</v>
      </c>
      <c r="M328" s="26"/>
      <c r="AI328" s="27">
        <v>340</v>
      </c>
      <c r="AJ328" s="28"/>
      <c r="AK328" s="28"/>
      <c r="AL328" s="28"/>
      <c r="AN328" s="29">
        <f>AI328-D332-H332-L332-P332-T332-X332-AB332-AF332-AJ332-AN332</f>
        <v>0</v>
      </c>
      <c r="AO328" s="30"/>
      <c r="AP328" s="30"/>
      <c r="AQ328" s="30"/>
      <c r="AT328" s="31" t="s">
        <v>21</v>
      </c>
      <c r="AU328" s="32"/>
      <c r="AV328" s="32"/>
      <c r="AW328" s="32" t="s">
        <v>22</v>
      </c>
      <c r="AX328" s="32"/>
      <c r="AY328" s="33"/>
    </row>
    <row r="329" spans="1:51" ht="15.75" thickBot="1" x14ac:dyDescent="0.3">
      <c r="AT329" s="34">
        <v>2</v>
      </c>
      <c r="AU329" s="35"/>
      <c r="AV329" s="35"/>
      <c r="AW329" s="35">
        <v>4</v>
      </c>
      <c r="AX329" s="35"/>
      <c r="AY329" s="36"/>
    </row>
    <row r="330" spans="1:51" ht="15.75" thickBot="1" x14ac:dyDescent="0.3">
      <c r="D330" s="37" t="s">
        <v>8</v>
      </c>
      <c r="E330" s="8"/>
      <c r="F330" s="8"/>
      <c r="G330" s="8"/>
      <c r="H330" s="8" t="s">
        <v>9</v>
      </c>
      <c r="I330" s="8"/>
      <c r="J330" s="8"/>
      <c r="K330" s="8"/>
      <c r="L330" s="8" t="s">
        <v>10</v>
      </c>
      <c r="M330" s="8"/>
      <c r="N330" s="8"/>
      <c r="O330" s="8"/>
      <c r="P330" s="8" t="s">
        <v>11</v>
      </c>
      <c r="Q330" s="8"/>
      <c r="R330" s="8"/>
      <c r="S330" s="8"/>
      <c r="T330" s="8" t="s">
        <v>12</v>
      </c>
      <c r="U330" s="8"/>
      <c r="V330" s="8"/>
      <c r="W330" s="8"/>
      <c r="X330" s="8" t="s">
        <v>13</v>
      </c>
      <c r="Y330" s="8"/>
      <c r="Z330" s="8"/>
      <c r="AA330" s="8"/>
      <c r="AB330" s="8" t="s">
        <v>14</v>
      </c>
      <c r="AC330" s="8"/>
      <c r="AD330" s="8"/>
      <c r="AE330" s="8"/>
      <c r="AF330" s="8" t="s">
        <v>15</v>
      </c>
      <c r="AG330" s="8"/>
      <c r="AH330" s="8"/>
      <c r="AI330" s="8"/>
      <c r="AJ330" s="8" t="s">
        <v>16</v>
      </c>
      <c r="AK330" s="8"/>
      <c r="AL330" s="8"/>
      <c r="AM330" s="8"/>
      <c r="AN330" s="8" t="s">
        <v>17</v>
      </c>
      <c r="AO330" s="8"/>
      <c r="AP330" s="8"/>
      <c r="AQ330" s="10"/>
    </row>
    <row r="331" spans="1:51" ht="15.75" thickBot="1" x14ac:dyDescent="0.3">
      <c r="A331" s="4" t="s">
        <v>19</v>
      </c>
      <c r="B331" s="5"/>
      <c r="C331" s="6"/>
      <c r="D331" s="7">
        <v>43525</v>
      </c>
      <c r="E331" s="8"/>
      <c r="F331" s="8"/>
      <c r="G331" s="8"/>
      <c r="H331" s="9">
        <v>43538</v>
      </c>
      <c r="I331" s="8"/>
      <c r="J331" s="8"/>
      <c r="K331" s="8"/>
      <c r="L331" s="9">
        <v>43553</v>
      </c>
      <c r="M331" s="8"/>
      <c r="N331" s="8"/>
      <c r="O331" s="8"/>
      <c r="P331" s="9"/>
      <c r="Q331" s="8"/>
      <c r="R331" s="8"/>
      <c r="S331" s="8"/>
      <c r="T331" s="9"/>
      <c r="U331" s="8"/>
      <c r="V331" s="8"/>
      <c r="W331" s="8"/>
      <c r="X331" s="9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10"/>
    </row>
    <row r="332" spans="1:51" ht="15.75" thickBot="1" x14ac:dyDescent="0.3">
      <c r="D332" s="11">
        <v>114</v>
      </c>
      <c r="E332" s="12"/>
      <c r="F332" s="12"/>
      <c r="G332" s="12"/>
      <c r="H332" s="12">
        <v>114</v>
      </c>
      <c r="I332" s="12"/>
      <c r="J332" s="12"/>
      <c r="K332" s="12"/>
      <c r="L332" s="12">
        <v>112</v>
      </c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3"/>
    </row>
    <row r="334" spans="1:51" ht="15.75" thickBot="1" x14ac:dyDescent="0.3"/>
    <row r="335" spans="1:51" ht="15.75" thickBot="1" x14ac:dyDescent="0.3">
      <c r="B335" s="1">
        <v>42</v>
      </c>
      <c r="C335" s="14" t="s">
        <v>3</v>
      </c>
      <c r="D335" s="14"/>
      <c r="E335" s="14"/>
      <c r="F335" s="15" t="s">
        <v>4</v>
      </c>
      <c r="G335" s="15"/>
      <c r="H335" s="15"/>
      <c r="I335" s="15"/>
      <c r="J335" s="15"/>
      <c r="K335" s="15"/>
      <c r="L335" s="15" t="s">
        <v>5</v>
      </c>
      <c r="M335" s="15"/>
      <c r="AI335" s="16" t="s">
        <v>6</v>
      </c>
      <c r="AJ335" s="17"/>
      <c r="AK335" s="17"/>
      <c r="AL335" s="17"/>
      <c r="AN335" s="16" t="s">
        <v>7</v>
      </c>
      <c r="AO335" s="17"/>
      <c r="AP335" s="17"/>
      <c r="AQ335" s="17"/>
      <c r="AT335" s="18" t="s">
        <v>20</v>
      </c>
      <c r="AU335" s="19"/>
      <c r="AV335" s="19"/>
      <c r="AW335" s="19"/>
      <c r="AX335" s="19"/>
      <c r="AY335" s="20"/>
    </row>
    <row r="336" spans="1:51" ht="15.75" thickBot="1" x14ac:dyDescent="0.3">
      <c r="C336" s="21">
        <v>3611</v>
      </c>
      <c r="D336" s="22"/>
      <c r="E336" s="22"/>
      <c r="F336" s="23">
        <v>43511</v>
      </c>
      <c r="G336" s="24"/>
      <c r="H336" s="24"/>
      <c r="I336" s="24"/>
      <c r="J336" s="24"/>
      <c r="K336" s="25"/>
      <c r="L336" s="26">
        <v>3</v>
      </c>
      <c r="M336" s="26"/>
      <c r="AI336" s="27">
        <v>310</v>
      </c>
      <c r="AJ336" s="28"/>
      <c r="AK336" s="28"/>
      <c r="AL336" s="28"/>
      <c r="AN336" s="29">
        <f>AI336-D340-H340-L340-P340-T340-X340-AB340-AF340-AJ340-AN340</f>
        <v>0</v>
      </c>
      <c r="AO336" s="30"/>
      <c r="AP336" s="30"/>
      <c r="AQ336" s="30"/>
      <c r="AT336" s="31" t="s">
        <v>21</v>
      </c>
      <c r="AU336" s="32"/>
      <c r="AV336" s="32"/>
      <c r="AW336" s="32" t="s">
        <v>22</v>
      </c>
      <c r="AX336" s="32"/>
      <c r="AY336" s="33"/>
    </row>
    <row r="337" spans="1:51" ht="15.75" thickBot="1" x14ac:dyDescent="0.3">
      <c r="AT337" s="34">
        <v>4</v>
      </c>
      <c r="AU337" s="35"/>
      <c r="AV337" s="35"/>
      <c r="AW337" s="35">
        <v>6</v>
      </c>
      <c r="AX337" s="35"/>
      <c r="AY337" s="36"/>
    </row>
    <row r="338" spans="1:51" ht="15.75" thickBot="1" x14ac:dyDescent="0.3">
      <c r="D338" s="37" t="s">
        <v>8</v>
      </c>
      <c r="E338" s="8"/>
      <c r="F338" s="8"/>
      <c r="G338" s="8"/>
      <c r="H338" s="8" t="s">
        <v>9</v>
      </c>
      <c r="I338" s="8"/>
      <c r="J338" s="8"/>
      <c r="K338" s="8"/>
      <c r="L338" s="8" t="s">
        <v>10</v>
      </c>
      <c r="M338" s="8"/>
      <c r="N338" s="8"/>
      <c r="O338" s="8"/>
      <c r="P338" s="8" t="s">
        <v>11</v>
      </c>
      <c r="Q338" s="8"/>
      <c r="R338" s="8"/>
      <c r="S338" s="8"/>
      <c r="T338" s="8" t="s">
        <v>12</v>
      </c>
      <c r="U338" s="8"/>
      <c r="V338" s="8"/>
      <c r="W338" s="8"/>
      <c r="X338" s="8" t="s">
        <v>13</v>
      </c>
      <c r="Y338" s="8"/>
      <c r="Z338" s="8"/>
      <c r="AA338" s="8"/>
      <c r="AB338" s="8" t="s">
        <v>14</v>
      </c>
      <c r="AC338" s="8"/>
      <c r="AD338" s="8"/>
      <c r="AE338" s="8"/>
      <c r="AF338" s="8" t="s">
        <v>15</v>
      </c>
      <c r="AG338" s="8"/>
      <c r="AH338" s="8"/>
      <c r="AI338" s="8"/>
      <c r="AJ338" s="8" t="s">
        <v>16</v>
      </c>
      <c r="AK338" s="8"/>
      <c r="AL338" s="8"/>
      <c r="AM338" s="8"/>
      <c r="AN338" s="8" t="s">
        <v>17</v>
      </c>
      <c r="AO338" s="8"/>
      <c r="AP338" s="8"/>
      <c r="AQ338" s="10"/>
    </row>
    <row r="339" spans="1:51" ht="15.75" thickBot="1" x14ac:dyDescent="0.3">
      <c r="A339" s="4" t="s">
        <v>19</v>
      </c>
      <c r="B339" s="5"/>
      <c r="C339" s="6"/>
      <c r="D339" s="7" t="s">
        <v>27</v>
      </c>
      <c r="E339" s="8"/>
      <c r="F339" s="8"/>
      <c r="G339" s="8"/>
      <c r="H339" s="9">
        <v>43538</v>
      </c>
      <c r="I339" s="8"/>
      <c r="J339" s="8"/>
      <c r="K339" s="8"/>
      <c r="L339" s="9">
        <v>43553</v>
      </c>
      <c r="M339" s="8"/>
      <c r="N339" s="8"/>
      <c r="O339" s="8"/>
      <c r="P339" s="9"/>
      <c r="Q339" s="8"/>
      <c r="R339" s="8"/>
      <c r="S339" s="8"/>
      <c r="T339" s="9"/>
      <c r="U339" s="8"/>
      <c r="V339" s="8"/>
      <c r="W339" s="8"/>
      <c r="X339" s="9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10"/>
    </row>
    <row r="340" spans="1:51" ht="15.75" thickBot="1" x14ac:dyDescent="0.3">
      <c r="D340" s="11">
        <v>104</v>
      </c>
      <c r="E340" s="12"/>
      <c r="F340" s="12"/>
      <c r="G340" s="12"/>
      <c r="H340" s="12">
        <v>104</v>
      </c>
      <c r="I340" s="12"/>
      <c r="J340" s="12"/>
      <c r="K340" s="12"/>
      <c r="L340" s="12">
        <v>102</v>
      </c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3"/>
    </row>
    <row r="342" spans="1:51" ht="15.75" thickBot="1" x14ac:dyDescent="0.3"/>
    <row r="343" spans="1:51" ht="15.75" thickBot="1" x14ac:dyDescent="0.3">
      <c r="B343" s="1">
        <v>43</v>
      </c>
      <c r="C343" s="14" t="s">
        <v>3</v>
      </c>
      <c r="D343" s="14"/>
      <c r="E343" s="14"/>
      <c r="F343" s="15" t="s">
        <v>4</v>
      </c>
      <c r="G343" s="15"/>
      <c r="H343" s="15"/>
      <c r="I343" s="15"/>
      <c r="J343" s="15"/>
      <c r="K343" s="15"/>
      <c r="L343" s="15" t="s">
        <v>5</v>
      </c>
      <c r="M343" s="15"/>
      <c r="AI343" s="16" t="s">
        <v>6</v>
      </c>
      <c r="AJ343" s="17"/>
      <c r="AK343" s="17"/>
      <c r="AL343" s="17"/>
      <c r="AN343" s="16" t="s">
        <v>7</v>
      </c>
      <c r="AO343" s="17"/>
      <c r="AP343" s="17"/>
      <c r="AQ343" s="17"/>
      <c r="AT343" s="18" t="s">
        <v>20</v>
      </c>
      <c r="AU343" s="19"/>
      <c r="AV343" s="19"/>
      <c r="AW343" s="19"/>
      <c r="AX343" s="19"/>
      <c r="AY343" s="20"/>
    </row>
    <row r="344" spans="1:51" ht="15.75" thickBot="1" x14ac:dyDescent="0.3">
      <c r="B344" s="1"/>
      <c r="C344" s="21">
        <v>7922</v>
      </c>
      <c r="D344" s="22"/>
      <c r="E344" s="22"/>
      <c r="F344" s="23">
        <v>43874</v>
      </c>
      <c r="G344" s="24"/>
      <c r="H344" s="24"/>
      <c r="I344" s="24"/>
      <c r="J344" s="24"/>
      <c r="K344" s="25"/>
      <c r="L344" s="26">
        <v>3</v>
      </c>
      <c r="M344" s="26"/>
      <c r="AI344" s="27">
        <v>420</v>
      </c>
      <c r="AJ344" s="28"/>
      <c r="AK344" s="28"/>
      <c r="AL344" s="28"/>
      <c r="AN344" s="29">
        <f>AI344-D348-H348-L348-P348-T348-X348-AB348-AF348-AJ348-AN348</f>
        <v>0</v>
      </c>
      <c r="AO344" s="30"/>
      <c r="AP344" s="30"/>
      <c r="AQ344" s="30"/>
      <c r="AT344" s="31" t="s">
        <v>21</v>
      </c>
      <c r="AU344" s="32"/>
      <c r="AV344" s="32"/>
      <c r="AW344" s="32" t="s">
        <v>22</v>
      </c>
      <c r="AX344" s="32"/>
      <c r="AY344" s="33"/>
    </row>
    <row r="345" spans="1:51" ht="15.75" thickBot="1" x14ac:dyDescent="0.3">
      <c r="C345" t="s">
        <v>28</v>
      </c>
      <c r="AT345" s="34">
        <v>4</v>
      </c>
      <c r="AU345" s="35"/>
      <c r="AV345" s="35"/>
      <c r="AW345" s="35">
        <v>8</v>
      </c>
      <c r="AX345" s="35"/>
      <c r="AY345" s="36"/>
    </row>
    <row r="346" spans="1:51" ht="15.75" thickBot="1" x14ac:dyDescent="0.3">
      <c r="D346" s="37" t="s">
        <v>8</v>
      </c>
      <c r="E346" s="8"/>
      <c r="F346" s="8"/>
      <c r="G346" s="8"/>
      <c r="H346" s="8" t="s">
        <v>9</v>
      </c>
      <c r="I346" s="8"/>
      <c r="J346" s="8"/>
      <c r="K346" s="8"/>
      <c r="L346" s="8" t="s">
        <v>10</v>
      </c>
      <c r="M346" s="8"/>
      <c r="N346" s="8"/>
      <c r="O346" s="8"/>
      <c r="P346" s="8" t="s">
        <v>11</v>
      </c>
      <c r="Q346" s="8"/>
      <c r="R346" s="8"/>
      <c r="S346" s="8"/>
      <c r="T346" s="8" t="s">
        <v>12</v>
      </c>
      <c r="U346" s="8"/>
      <c r="V346" s="8"/>
      <c r="W346" s="8"/>
      <c r="X346" s="8" t="s">
        <v>13</v>
      </c>
      <c r="Y346" s="8"/>
      <c r="Z346" s="8"/>
      <c r="AA346" s="8"/>
      <c r="AB346" s="8" t="s">
        <v>14</v>
      </c>
      <c r="AC346" s="8"/>
      <c r="AD346" s="8"/>
      <c r="AE346" s="8"/>
      <c r="AF346" s="8" t="s">
        <v>15</v>
      </c>
      <c r="AG346" s="8"/>
      <c r="AH346" s="8"/>
      <c r="AI346" s="8"/>
      <c r="AJ346" s="8" t="s">
        <v>16</v>
      </c>
      <c r="AK346" s="8"/>
      <c r="AL346" s="8"/>
      <c r="AM346" s="8"/>
      <c r="AN346" s="8" t="s">
        <v>17</v>
      </c>
      <c r="AO346" s="8"/>
      <c r="AP346" s="8"/>
      <c r="AQ346" s="10"/>
    </row>
    <row r="347" spans="1:51" ht="15.75" thickBot="1" x14ac:dyDescent="0.3">
      <c r="A347" s="4" t="s">
        <v>19</v>
      </c>
      <c r="B347" s="5"/>
      <c r="C347" s="6"/>
      <c r="D347" s="7">
        <v>43897</v>
      </c>
      <c r="E347" s="8"/>
      <c r="F347" s="8"/>
      <c r="G347" s="8"/>
      <c r="H347" s="9">
        <v>43918</v>
      </c>
      <c r="I347" s="8"/>
      <c r="J347" s="8"/>
      <c r="K347" s="8"/>
      <c r="L347" s="9"/>
      <c r="M347" s="8"/>
      <c r="N347" s="8"/>
      <c r="O347" s="8"/>
      <c r="P347" s="9"/>
      <c r="Q347" s="8"/>
      <c r="R347" s="8"/>
      <c r="S347" s="8"/>
      <c r="T347" s="9"/>
      <c r="U347" s="8"/>
      <c r="V347" s="8"/>
      <c r="W347" s="8"/>
      <c r="X347" s="9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10"/>
    </row>
    <row r="348" spans="1:51" ht="15.75" thickBot="1" x14ac:dyDescent="0.3">
      <c r="D348" s="11">
        <v>140</v>
      </c>
      <c r="E348" s="12"/>
      <c r="F348" s="12"/>
      <c r="G348" s="12"/>
      <c r="H348" s="12">
        <v>280</v>
      </c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3"/>
    </row>
    <row r="350" spans="1:51" ht="15.75" thickBot="1" x14ac:dyDescent="0.3"/>
    <row r="351" spans="1:51" ht="15.75" thickBot="1" x14ac:dyDescent="0.3">
      <c r="B351" s="1">
        <v>44</v>
      </c>
      <c r="C351" s="14" t="s">
        <v>3</v>
      </c>
      <c r="D351" s="14"/>
      <c r="E351" s="14"/>
      <c r="F351" s="15" t="s">
        <v>4</v>
      </c>
      <c r="G351" s="15"/>
      <c r="H351" s="15"/>
      <c r="I351" s="15"/>
      <c r="J351" s="15"/>
      <c r="K351" s="15"/>
      <c r="L351" s="15" t="s">
        <v>5</v>
      </c>
      <c r="M351" s="15"/>
      <c r="AI351" s="16" t="s">
        <v>6</v>
      </c>
      <c r="AJ351" s="17"/>
      <c r="AK351" s="17"/>
      <c r="AL351" s="17"/>
      <c r="AN351" s="16" t="s">
        <v>7</v>
      </c>
      <c r="AO351" s="17"/>
      <c r="AP351" s="17"/>
      <c r="AQ351" s="17"/>
      <c r="AT351" s="18" t="s">
        <v>20</v>
      </c>
      <c r="AU351" s="19"/>
      <c r="AV351" s="19"/>
      <c r="AW351" s="19"/>
      <c r="AX351" s="19"/>
      <c r="AY351" s="20"/>
    </row>
    <row r="352" spans="1:51" ht="15.75" thickBot="1" x14ac:dyDescent="0.3">
      <c r="C352" s="21">
        <v>10061</v>
      </c>
      <c r="D352" s="22"/>
      <c r="E352" s="22"/>
      <c r="F352" s="23">
        <v>44151</v>
      </c>
      <c r="G352" s="24"/>
      <c r="H352" s="24"/>
      <c r="I352" s="24"/>
      <c r="J352" s="24"/>
      <c r="K352" s="25"/>
      <c r="L352" s="26">
        <v>4</v>
      </c>
      <c r="M352" s="26"/>
      <c r="AI352" s="27">
        <v>649</v>
      </c>
      <c r="AJ352" s="28"/>
      <c r="AK352" s="28"/>
      <c r="AL352" s="28"/>
      <c r="AN352" s="29">
        <f>AI352-D356-H356-L356-P356-T356-X356-AB356-AF356-AJ356-AN356</f>
        <v>0</v>
      </c>
      <c r="AO352" s="30"/>
      <c r="AP352" s="30"/>
      <c r="AQ352" s="30"/>
      <c r="AT352" s="31" t="s">
        <v>21</v>
      </c>
      <c r="AU352" s="32"/>
      <c r="AV352" s="32"/>
      <c r="AW352" s="32" t="s">
        <v>22</v>
      </c>
      <c r="AX352" s="32"/>
      <c r="AY352" s="33"/>
    </row>
    <row r="353" spans="1:51" ht="15.75" thickBot="1" x14ac:dyDescent="0.3">
      <c r="AT353" s="34">
        <v>22</v>
      </c>
      <c r="AU353" s="35"/>
      <c r="AV353" s="35"/>
      <c r="AW353" s="35">
        <v>1</v>
      </c>
      <c r="AX353" s="35"/>
      <c r="AY353" s="36"/>
    </row>
    <row r="354" spans="1:51" ht="15.75" thickBot="1" x14ac:dyDescent="0.3">
      <c r="D354" s="37" t="s">
        <v>8</v>
      </c>
      <c r="E354" s="8"/>
      <c r="F354" s="8"/>
      <c r="G354" s="8"/>
      <c r="H354" s="8" t="s">
        <v>9</v>
      </c>
      <c r="I354" s="8"/>
      <c r="J354" s="8"/>
      <c r="K354" s="8"/>
      <c r="L354" s="8" t="s">
        <v>10</v>
      </c>
      <c r="M354" s="8"/>
      <c r="N354" s="8"/>
      <c r="O354" s="8"/>
      <c r="P354" s="8" t="s">
        <v>11</v>
      </c>
      <c r="Q354" s="8"/>
      <c r="R354" s="8"/>
      <c r="S354" s="8"/>
      <c r="T354" s="8" t="s">
        <v>12</v>
      </c>
      <c r="U354" s="8"/>
      <c r="V354" s="8"/>
      <c r="W354" s="8"/>
      <c r="X354" s="8" t="s">
        <v>13</v>
      </c>
      <c r="Y354" s="8"/>
      <c r="Z354" s="8"/>
      <c r="AA354" s="8"/>
      <c r="AB354" s="8" t="s">
        <v>14</v>
      </c>
      <c r="AC354" s="8"/>
      <c r="AD354" s="8"/>
      <c r="AE354" s="8"/>
      <c r="AF354" s="8" t="s">
        <v>15</v>
      </c>
      <c r="AG354" s="8"/>
      <c r="AH354" s="8"/>
      <c r="AI354" s="8"/>
      <c r="AJ354" s="8" t="s">
        <v>16</v>
      </c>
      <c r="AK354" s="8"/>
      <c r="AL354" s="8"/>
      <c r="AM354" s="8"/>
      <c r="AN354" s="8" t="s">
        <v>17</v>
      </c>
      <c r="AO354" s="8"/>
      <c r="AP354" s="8"/>
      <c r="AQ354" s="10"/>
    </row>
    <row r="355" spans="1:51" ht="15.75" thickBot="1" x14ac:dyDescent="0.3">
      <c r="A355" s="4" t="s">
        <v>19</v>
      </c>
      <c r="B355" s="5"/>
      <c r="C355" s="6"/>
      <c r="D355" s="7" t="s">
        <v>29</v>
      </c>
      <c r="E355" s="8"/>
      <c r="F355" s="8"/>
      <c r="G355" s="8"/>
      <c r="H355" s="9">
        <v>44180</v>
      </c>
      <c r="I355" s="8"/>
      <c r="J355" s="8"/>
      <c r="K355" s="8"/>
      <c r="L355" s="9">
        <v>44180</v>
      </c>
      <c r="M355" s="8"/>
      <c r="N355" s="8"/>
      <c r="O355" s="8"/>
      <c r="P355" s="9">
        <v>44204</v>
      </c>
      <c r="Q355" s="8"/>
      <c r="R355" s="8"/>
      <c r="S355" s="8"/>
      <c r="T355" s="9"/>
      <c r="U355" s="8"/>
      <c r="V355" s="8"/>
      <c r="W355" s="8"/>
      <c r="X355" s="9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10"/>
    </row>
    <row r="356" spans="1:51" ht="15.75" thickBot="1" x14ac:dyDescent="0.3">
      <c r="D356" s="11">
        <v>163</v>
      </c>
      <c r="E356" s="12"/>
      <c r="F356" s="12"/>
      <c r="G356" s="12"/>
      <c r="H356" s="12">
        <v>163</v>
      </c>
      <c r="I356" s="12"/>
      <c r="J356" s="12"/>
      <c r="K356" s="12"/>
      <c r="L356" s="12">
        <v>163</v>
      </c>
      <c r="M356" s="12"/>
      <c r="N356" s="12"/>
      <c r="O356" s="12"/>
      <c r="P356" s="12">
        <v>160</v>
      </c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3"/>
    </row>
    <row r="358" spans="1:51" ht="15.75" thickBot="1" x14ac:dyDescent="0.3"/>
    <row r="359" spans="1:51" ht="15.75" thickBot="1" x14ac:dyDescent="0.3">
      <c r="B359" s="3">
        <v>45</v>
      </c>
      <c r="C359" s="14" t="s">
        <v>3</v>
      </c>
      <c r="D359" s="14"/>
      <c r="E359" s="14"/>
      <c r="F359" s="15" t="s">
        <v>4</v>
      </c>
      <c r="G359" s="15"/>
      <c r="H359" s="15"/>
      <c r="I359" s="15"/>
      <c r="J359" s="15"/>
      <c r="K359" s="15"/>
      <c r="L359" s="15" t="s">
        <v>5</v>
      </c>
      <c r="M359" s="15"/>
      <c r="AI359" s="16" t="s">
        <v>6</v>
      </c>
      <c r="AJ359" s="17"/>
      <c r="AK359" s="17"/>
      <c r="AL359" s="17"/>
      <c r="AN359" s="16" t="s">
        <v>7</v>
      </c>
      <c r="AO359" s="17"/>
      <c r="AP359" s="17"/>
      <c r="AQ359" s="17"/>
      <c r="AT359" s="18" t="s">
        <v>20</v>
      </c>
      <c r="AU359" s="19"/>
      <c r="AV359" s="19"/>
      <c r="AW359" s="19"/>
      <c r="AX359" s="19"/>
      <c r="AY359" s="20"/>
    </row>
    <row r="360" spans="1:51" ht="15.75" thickBot="1" x14ac:dyDescent="0.3">
      <c r="C360" s="21">
        <v>10638</v>
      </c>
      <c r="D360" s="22"/>
      <c r="E360" s="22"/>
      <c r="F360" s="23">
        <v>44211</v>
      </c>
      <c r="G360" s="24"/>
      <c r="H360" s="24"/>
      <c r="I360" s="24"/>
      <c r="J360" s="24"/>
      <c r="K360" s="25"/>
      <c r="L360" s="26">
        <v>3</v>
      </c>
      <c r="M360" s="26"/>
      <c r="AI360" s="27">
        <v>450</v>
      </c>
      <c r="AJ360" s="28"/>
      <c r="AK360" s="28"/>
      <c r="AL360" s="28"/>
      <c r="AN360" s="29">
        <f>AI360-D364-H364-L364-P364-T364-X364-AB364-AF364-AJ364-AN364</f>
        <v>0</v>
      </c>
      <c r="AO360" s="30"/>
      <c r="AP360" s="30"/>
      <c r="AQ360" s="30"/>
      <c r="AT360" s="31" t="s">
        <v>21</v>
      </c>
      <c r="AU360" s="32"/>
      <c r="AV360" s="32"/>
      <c r="AW360" s="32" t="s">
        <v>22</v>
      </c>
      <c r="AX360" s="32"/>
      <c r="AY360" s="33"/>
    </row>
    <row r="361" spans="1:51" ht="15.75" thickBot="1" x14ac:dyDescent="0.3">
      <c r="C361" t="s">
        <v>30</v>
      </c>
      <c r="AT361" s="34">
        <v>2</v>
      </c>
      <c r="AU361" s="35"/>
      <c r="AV361" s="35"/>
      <c r="AW361" s="35">
        <v>4</v>
      </c>
      <c r="AX361" s="35"/>
      <c r="AY361" s="36"/>
    </row>
    <row r="362" spans="1:51" ht="15.75" thickBot="1" x14ac:dyDescent="0.3">
      <c r="D362" s="37" t="s">
        <v>8</v>
      </c>
      <c r="E362" s="8"/>
      <c r="F362" s="8"/>
      <c r="G362" s="8"/>
      <c r="H362" s="8" t="s">
        <v>9</v>
      </c>
      <c r="I362" s="8"/>
      <c r="J362" s="8"/>
      <c r="K362" s="8"/>
      <c r="L362" s="8" t="s">
        <v>10</v>
      </c>
      <c r="M362" s="8"/>
      <c r="N362" s="8"/>
      <c r="O362" s="8"/>
      <c r="P362" s="8" t="s">
        <v>11</v>
      </c>
      <c r="Q362" s="8"/>
      <c r="R362" s="8"/>
      <c r="S362" s="8"/>
      <c r="T362" s="8" t="s">
        <v>12</v>
      </c>
      <c r="U362" s="8"/>
      <c r="V362" s="8"/>
      <c r="W362" s="8"/>
      <c r="X362" s="8" t="s">
        <v>13</v>
      </c>
      <c r="Y362" s="8"/>
      <c r="Z362" s="8"/>
      <c r="AA362" s="8"/>
      <c r="AB362" s="8" t="s">
        <v>14</v>
      </c>
      <c r="AC362" s="8"/>
      <c r="AD362" s="8"/>
      <c r="AE362" s="8"/>
      <c r="AF362" s="8" t="s">
        <v>15</v>
      </c>
      <c r="AG362" s="8"/>
      <c r="AH362" s="8"/>
      <c r="AI362" s="8"/>
      <c r="AJ362" s="8" t="s">
        <v>16</v>
      </c>
      <c r="AK362" s="8"/>
      <c r="AL362" s="8"/>
      <c r="AM362" s="8"/>
      <c r="AN362" s="8" t="s">
        <v>17</v>
      </c>
      <c r="AO362" s="8"/>
      <c r="AP362" s="8"/>
      <c r="AQ362" s="10"/>
    </row>
    <row r="363" spans="1:51" ht="15.75" thickBot="1" x14ac:dyDescent="0.3">
      <c r="A363" s="4" t="s">
        <v>19</v>
      </c>
      <c r="B363" s="5"/>
      <c r="C363" s="6"/>
      <c r="D363" s="7">
        <v>44235</v>
      </c>
      <c r="E363" s="8"/>
      <c r="F363" s="8"/>
      <c r="G363" s="8"/>
      <c r="H363" s="9">
        <v>44254</v>
      </c>
      <c r="I363" s="8"/>
      <c r="J363" s="8"/>
      <c r="K363" s="8"/>
      <c r="L363" s="9">
        <v>44272</v>
      </c>
      <c r="M363" s="8"/>
      <c r="N363" s="8"/>
      <c r="O363" s="8"/>
      <c r="P363" s="9"/>
      <c r="Q363" s="8"/>
      <c r="R363" s="8"/>
      <c r="S363" s="8"/>
      <c r="T363" s="9"/>
      <c r="U363" s="8"/>
      <c r="V363" s="8"/>
      <c r="W363" s="8"/>
      <c r="X363" s="9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10"/>
    </row>
    <row r="364" spans="1:51" ht="15.75" thickBot="1" x14ac:dyDescent="0.3">
      <c r="D364" s="11">
        <v>150</v>
      </c>
      <c r="E364" s="12"/>
      <c r="F364" s="12"/>
      <c r="G364" s="12"/>
      <c r="H364" s="12">
        <v>150</v>
      </c>
      <c r="I364" s="12"/>
      <c r="J364" s="12"/>
      <c r="K364" s="12"/>
      <c r="L364" s="12">
        <v>150</v>
      </c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3"/>
    </row>
    <row r="366" spans="1:51" ht="15.75" thickBot="1" x14ac:dyDescent="0.3"/>
    <row r="367" spans="1:51" ht="15.75" thickBot="1" x14ac:dyDescent="0.3">
      <c r="B367" s="1">
        <v>46</v>
      </c>
      <c r="C367" s="14" t="s">
        <v>3</v>
      </c>
      <c r="D367" s="14"/>
      <c r="E367" s="14"/>
      <c r="F367" s="15" t="s">
        <v>4</v>
      </c>
      <c r="G367" s="15"/>
      <c r="H367" s="15"/>
      <c r="I367" s="15"/>
      <c r="J367" s="15"/>
      <c r="K367" s="15"/>
      <c r="L367" s="15" t="s">
        <v>5</v>
      </c>
      <c r="M367" s="15"/>
      <c r="AI367" s="16" t="s">
        <v>6</v>
      </c>
      <c r="AJ367" s="17"/>
      <c r="AK367" s="17"/>
      <c r="AL367" s="17"/>
      <c r="AN367" s="16" t="s">
        <v>7</v>
      </c>
      <c r="AO367" s="17"/>
      <c r="AP367" s="17"/>
      <c r="AQ367" s="17"/>
      <c r="AT367" s="18" t="s">
        <v>20</v>
      </c>
      <c r="AU367" s="19"/>
      <c r="AV367" s="19"/>
      <c r="AW367" s="19"/>
      <c r="AX367" s="19"/>
      <c r="AY367" s="20"/>
    </row>
    <row r="368" spans="1:51" ht="15.75" thickBot="1" x14ac:dyDescent="0.3">
      <c r="C368" s="21">
        <v>1105</v>
      </c>
      <c r="D368" s="22"/>
      <c r="E368" s="22"/>
      <c r="F368" s="23">
        <v>44257</v>
      </c>
      <c r="G368" s="24"/>
      <c r="H368" s="24"/>
      <c r="I368" s="24"/>
      <c r="J368" s="24"/>
      <c r="K368" s="25"/>
      <c r="L368" s="26">
        <v>3</v>
      </c>
      <c r="M368" s="26"/>
      <c r="AI368" s="27">
        <v>480</v>
      </c>
      <c r="AJ368" s="28"/>
      <c r="AK368" s="28"/>
      <c r="AL368" s="28"/>
      <c r="AN368" s="29">
        <f>AI368-D372-H372-L372-P372-T372-X372-AB372-AF372-AJ372-AN372</f>
        <v>0</v>
      </c>
      <c r="AO368" s="30"/>
      <c r="AP368" s="30"/>
      <c r="AQ368" s="30"/>
      <c r="AT368" s="31" t="s">
        <v>21</v>
      </c>
      <c r="AU368" s="32"/>
      <c r="AV368" s="32"/>
      <c r="AW368" s="32" t="s">
        <v>22</v>
      </c>
      <c r="AX368" s="32"/>
      <c r="AY368" s="33"/>
    </row>
    <row r="369" spans="1:51" ht="15.75" thickBot="1" x14ac:dyDescent="0.3">
      <c r="AT369" s="34">
        <v>5</v>
      </c>
      <c r="AU369" s="35"/>
      <c r="AV369" s="35"/>
      <c r="AW369" s="35">
        <v>7</v>
      </c>
      <c r="AX369" s="35"/>
      <c r="AY369" s="36"/>
    </row>
    <row r="370" spans="1:51" ht="15.75" thickBot="1" x14ac:dyDescent="0.3">
      <c r="D370" s="37" t="s">
        <v>8</v>
      </c>
      <c r="E370" s="8"/>
      <c r="F370" s="8"/>
      <c r="G370" s="8"/>
      <c r="H370" s="8" t="s">
        <v>9</v>
      </c>
      <c r="I370" s="8"/>
      <c r="J370" s="8"/>
      <c r="K370" s="8"/>
      <c r="L370" s="8" t="s">
        <v>10</v>
      </c>
      <c r="M370" s="8"/>
      <c r="N370" s="8"/>
      <c r="O370" s="8"/>
      <c r="P370" s="8" t="s">
        <v>11</v>
      </c>
      <c r="Q370" s="8"/>
      <c r="R370" s="8"/>
      <c r="S370" s="8"/>
      <c r="T370" s="8" t="s">
        <v>12</v>
      </c>
      <c r="U370" s="8"/>
      <c r="V370" s="8"/>
      <c r="W370" s="8"/>
      <c r="X370" s="8" t="s">
        <v>13</v>
      </c>
      <c r="Y370" s="8"/>
      <c r="Z370" s="8"/>
      <c r="AA370" s="8"/>
      <c r="AB370" s="8" t="s">
        <v>14</v>
      </c>
      <c r="AC370" s="8"/>
      <c r="AD370" s="8"/>
      <c r="AE370" s="8"/>
      <c r="AF370" s="8" t="s">
        <v>15</v>
      </c>
      <c r="AG370" s="8"/>
      <c r="AH370" s="8"/>
      <c r="AI370" s="8"/>
      <c r="AJ370" s="8" t="s">
        <v>16</v>
      </c>
      <c r="AK370" s="8"/>
      <c r="AL370" s="8"/>
      <c r="AM370" s="8"/>
      <c r="AN370" s="8" t="s">
        <v>17</v>
      </c>
      <c r="AO370" s="8"/>
      <c r="AP370" s="8"/>
      <c r="AQ370" s="10"/>
    </row>
    <row r="371" spans="1:51" ht="15.75" thickBot="1" x14ac:dyDescent="0.3">
      <c r="A371" s="4" t="s">
        <v>19</v>
      </c>
      <c r="B371" s="5"/>
      <c r="C371" s="6"/>
      <c r="D371" s="7">
        <v>44272</v>
      </c>
      <c r="E371" s="8"/>
      <c r="F371" s="8"/>
      <c r="G371" s="8"/>
      <c r="H371" s="9">
        <v>44284</v>
      </c>
      <c r="I371" s="8"/>
      <c r="J371" s="8"/>
      <c r="K371" s="8"/>
      <c r="L371" s="9"/>
      <c r="M371" s="8"/>
      <c r="N371" s="8"/>
      <c r="O371" s="8"/>
      <c r="P371" s="9"/>
      <c r="Q371" s="8"/>
      <c r="R371" s="8"/>
      <c r="S371" s="8"/>
      <c r="T371" s="9"/>
      <c r="U371" s="8"/>
      <c r="V371" s="8"/>
      <c r="W371" s="8"/>
      <c r="X371" s="9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10"/>
    </row>
    <row r="372" spans="1:51" ht="15.75" thickBot="1" x14ac:dyDescent="0.3">
      <c r="D372" s="11">
        <v>160</v>
      </c>
      <c r="E372" s="12"/>
      <c r="F372" s="12"/>
      <c r="G372" s="12"/>
      <c r="H372" s="12">
        <v>320</v>
      </c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3"/>
    </row>
    <row r="374" spans="1:51" ht="15.75" thickBot="1" x14ac:dyDescent="0.3"/>
    <row r="375" spans="1:51" ht="15.75" thickBot="1" x14ac:dyDescent="0.3">
      <c r="B375" s="1">
        <v>47</v>
      </c>
      <c r="C375" s="14" t="s">
        <v>3</v>
      </c>
      <c r="D375" s="14"/>
      <c r="E375" s="14"/>
      <c r="F375" s="15" t="s">
        <v>4</v>
      </c>
      <c r="G375" s="15"/>
      <c r="H375" s="15"/>
      <c r="I375" s="15"/>
      <c r="J375" s="15"/>
      <c r="K375" s="15"/>
      <c r="L375" s="15" t="s">
        <v>5</v>
      </c>
      <c r="M375" s="15"/>
      <c r="AI375" s="16" t="s">
        <v>6</v>
      </c>
      <c r="AJ375" s="17"/>
      <c r="AK375" s="17"/>
      <c r="AL375" s="17"/>
      <c r="AN375" s="16" t="s">
        <v>7</v>
      </c>
      <c r="AO375" s="17"/>
      <c r="AP375" s="17"/>
      <c r="AQ375" s="17"/>
      <c r="AT375" s="18" t="s">
        <v>20</v>
      </c>
      <c r="AU375" s="19"/>
      <c r="AV375" s="19"/>
      <c r="AW375" s="19"/>
      <c r="AX375" s="19"/>
      <c r="AY375" s="20"/>
    </row>
    <row r="376" spans="1:51" ht="15.75" thickBot="1" x14ac:dyDescent="0.3">
      <c r="C376" s="21">
        <v>11314</v>
      </c>
      <c r="D376" s="22"/>
      <c r="E376" s="22"/>
      <c r="F376" s="23">
        <v>44284</v>
      </c>
      <c r="G376" s="24"/>
      <c r="H376" s="24"/>
      <c r="I376" s="24"/>
      <c r="J376" s="24"/>
      <c r="K376" s="25"/>
      <c r="L376" s="26">
        <v>3</v>
      </c>
      <c r="M376" s="26"/>
      <c r="AI376" s="27">
        <v>410</v>
      </c>
      <c r="AJ376" s="28"/>
      <c r="AK376" s="28"/>
      <c r="AL376" s="28"/>
      <c r="AN376" s="29">
        <f>AI376-D380-H380-L380-P380-T380-X380-AB380-AF380-AJ380-AN380</f>
        <v>0</v>
      </c>
      <c r="AO376" s="30"/>
      <c r="AP376" s="30"/>
      <c r="AQ376" s="30"/>
      <c r="AT376" s="31" t="s">
        <v>21</v>
      </c>
      <c r="AU376" s="32"/>
      <c r="AV376" s="32"/>
      <c r="AW376" s="32" t="s">
        <v>22</v>
      </c>
      <c r="AX376" s="32"/>
      <c r="AY376" s="33"/>
    </row>
    <row r="377" spans="1:51" ht="15.75" thickBot="1" x14ac:dyDescent="0.3">
      <c r="AT377" s="34">
        <v>7</v>
      </c>
      <c r="AU377" s="35"/>
      <c r="AV377" s="35"/>
      <c r="AW377" s="35">
        <v>9</v>
      </c>
      <c r="AX377" s="35"/>
      <c r="AY377" s="36"/>
    </row>
    <row r="378" spans="1:51" ht="15.75" thickBot="1" x14ac:dyDescent="0.3">
      <c r="D378" s="37" t="s">
        <v>8</v>
      </c>
      <c r="E378" s="8"/>
      <c r="F378" s="8"/>
      <c r="G378" s="8"/>
      <c r="H378" s="8" t="s">
        <v>9</v>
      </c>
      <c r="I378" s="8"/>
      <c r="J378" s="8"/>
      <c r="K378" s="8"/>
      <c r="L378" s="8" t="s">
        <v>10</v>
      </c>
      <c r="M378" s="8"/>
      <c r="N378" s="8"/>
      <c r="O378" s="8"/>
      <c r="P378" s="8" t="s">
        <v>11</v>
      </c>
      <c r="Q378" s="8"/>
      <c r="R378" s="8"/>
      <c r="S378" s="8"/>
      <c r="T378" s="8" t="s">
        <v>12</v>
      </c>
      <c r="U378" s="8"/>
      <c r="V378" s="8"/>
      <c r="W378" s="8"/>
      <c r="X378" s="8" t="s">
        <v>13</v>
      </c>
      <c r="Y378" s="8"/>
      <c r="Z378" s="8"/>
      <c r="AA378" s="8"/>
      <c r="AB378" s="8" t="s">
        <v>14</v>
      </c>
      <c r="AC378" s="8"/>
      <c r="AD378" s="8"/>
      <c r="AE378" s="8"/>
      <c r="AF378" s="8" t="s">
        <v>15</v>
      </c>
      <c r="AG378" s="8"/>
      <c r="AH378" s="8"/>
      <c r="AI378" s="8"/>
      <c r="AJ378" s="8" t="s">
        <v>16</v>
      </c>
      <c r="AK378" s="8"/>
      <c r="AL378" s="8"/>
      <c r="AM378" s="8"/>
      <c r="AN378" s="8" t="s">
        <v>17</v>
      </c>
      <c r="AO378" s="8"/>
      <c r="AP378" s="8"/>
      <c r="AQ378" s="10"/>
    </row>
    <row r="379" spans="1:51" ht="15.75" thickBot="1" x14ac:dyDescent="0.3">
      <c r="A379" s="4" t="s">
        <v>19</v>
      </c>
      <c r="B379" s="5"/>
      <c r="C379" s="6"/>
      <c r="D379" s="7">
        <v>44307</v>
      </c>
      <c r="E379" s="8"/>
      <c r="F379" s="8"/>
      <c r="G379" s="8"/>
      <c r="H379" s="9">
        <v>44329</v>
      </c>
      <c r="I379" s="8"/>
      <c r="J379" s="8"/>
      <c r="K379" s="8"/>
      <c r="L379" s="9"/>
      <c r="M379" s="8"/>
      <c r="N379" s="8"/>
      <c r="O379" s="8"/>
      <c r="P379" s="9"/>
      <c r="Q379" s="8"/>
      <c r="R379" s="8"/>
      <c r="S379" s="8"/>
      <c r="T379" s="9"/>
      <c r="U379" s="8"/>
      <c r="V379" s="8"/>
      <c r="W379" s="8"/>
      <c r="X379" s="9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10"/>
    </row>
    <row r="380" spans="1:51" ht="15.75" thickBot="1" x14ac:dyDescent="0.3">
      <c r="D380" s="11">
        <v>137</v>
      </c>
      <c r="E380" s="12"/>
      <c r="F380" s="12"/>
      <c r="G380" s="12"/>
      <c r="H380" s="12">
        <v>273</v>
      </c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3"/>
    </row>
    <row r="382" spans="1:51" ht="15.75" thickBot="1" x14ac:dyDescent="0.3"/>
    <row r="383" spans="1:51" ht="15.75" thickBot="1" x14ac:dyDescent="0.3">
      <c r="B383" s="1">
        <v>48</v>
      </c>
      <c r="C383" s="14" t="s">
        <v>3</v>
      </c>
      <c r="D383" s="14"/>
      <c r="E383" s="14"/>
      <c r="F383" s="15" t="s">
        <v>4</v>
      </c>
      <c r="G383" s="15"/>
      <c r="H383" s="15"/>
      <c r="I383" s="15"/>
      <c r="J383" s="15"/>
      <c r="K383" s="15"/>
      <c r="L383" s="15" t="s">
        <v>5</v>
      </c>
      <c r="M383" s="15"/>
      <c r="AI383" s="16" t="s">
        <v>6</v>
      </c>
      <c r="AJ383" s="17"/>
      <c r="AK383" s="17"/>
      <c r="AL383" s="17"/>
      <c r="AN383" s="16" t="s">
        <v>7</v>
      </c>
      <c r="AO383" s="17"/>
      <c r="AP383" s="17"/>
      <c r="AQ383" s="17"/>
      <c r="AT383" s="18" t="s">
        <v>20</v>
      </c>
      <c r="AU383" s="19"/>
      <c r="AV383" s="19"/>
      <c r="AW383" s="19"/>
      <c r="AX383" s="19"/>
      <c r="AY383" s="20"/>
    </row>
    <row r="384" spans="1:51" ht="15.75" thickBot="1" x14ac:dyDescent="0.3">
      <c r="C384" s="21">
        <v>12080</v>
      </c>
      <c r="D384" s="22"/>
      <c r="E384" s="22"/>
      <c r="F384" s="23">
        <v>44375</v>
      </c>
      <c r="G384" s="24"/>
      <c r="H384" s="24"/>
      <c r="I384" s="24"/>
      <c r="J384" s="24"/>
      <c r="K384" s="25"/>
      <c r="L384" s="26">
        <v>3</v>
      </c>
      <c r="M384" s="26"/>
      <c r="AI384" s="27">
        <v>440</v>
      </c>
      <c r="AJ384" s="28"/>
      <c r="AK384" s="28"/>
      <c r="AL384" s="28"/>
      <c r="AN384" s="29">
        <f>AI384-D388-H388-L388-P388-T388-X388-AB388-AF388-AJ388-AN388</f>
        <v>0</v>
      </c>
      <c r="AO384" s="30"/>
      <c r="AP384" s="30"/>
      <c r="AQ384" s="30"/>
      <c r="AT384" s="31" t="s">
        <v>21</v>
      </c>
      <c r="AU384" s="32"/>
      <c r="AV384" s="32"/>
      <c r="AW384" s="32" t="s">
        <v>22</v>
      </c>
      <c r="AX384" s="32"/>
      <c r="AY384" s="33"/>
    </row>
    <row r="385" spans="1:51" ht="15.75" thickBot="1" x14ac:dyDescent="0.3">
      <c r="AT385" s="34">
        <v>13</v>
      </c>
      <c r="AU385" s="35"/>
      <c r="AV385" s="35"/>
      <c r="AW385" s="35">
        <v>15</v>
      </c>
      <c r="AX385" s="35"/>
      <c r="AY385" s="36"/>
    </row>
    <row r="386" spans="1:51" ht="15.75" thickBot="1" x14ac:dyDescent="0.3">
      <c r="D386" s="37" t="s">
        <v>8</v>
      </c>
      <c r="E386" s="8"/>
      <c r="F386" s="8"/>
      <c r="G386" s="8"/>
      <c r="H386" s="8" t="s">
        <v>9</v>
      </c>
      <c r="I386" s="8"/>
      <c r="J386" s="8"/>
      <c r="K386" s="8"/>
      <c r="L386" s="8" t="s">
        <v>10</v>
      </c>
      <c r="M386" s="8"/>
      <c r="N386" s="8"/>
      <c r="O386" s="8"/>
      <c r="P386" s="8" t="s">
        <v>11</v>
      </c>
      <c r="Q386" s="8"/>
      <c r="R386" s="8"/>
      <c r="S386" s="8"/>
      <c r="T386" s="8" t="s">
        <v>12</v>
      </c>
      <c r="U386" s="8"/>
      <c r="V386" s="8"/>
      <c r="W386" s="8"/>
      <c r="X386" s="8" t="s">
        <v>13</v>
      </c>
      <c r="Y386" s="8"/>
      <c r="Z386" s="8"/>
      <c r="AA386" s="8"/>
      <c r="AB386" s="8" t="s">
        <v>14</v>
      </c>
      <c r="AC386" s="8"/>
      <c r="AD386" s="8"/>
      <c r="AE386" s="8"/>
      <c r="AF386" s="8" t="s">
        <v>15</v>
      </c>
      <c r="AG386" s="8"/>
      <c r="AH386" s="8"/>
      <c r="AI386" s="8"/>
      <c r="AJ386" s="8" t="s">
        <v>16</v>
      </c>
      <c r="AK386" s="8"/>
      <c r="AL386" s="8"/>
      <c r="AM386" s="8"/>
      <c r="AN386" s="8" t="s">
        <v>17</v>
      </c>
      <c r="AO386" s="8"/>
      <c r="AP386" s="8"/>
      <c r="AQ386" s="10"/>
    </row>
    <row r="387" spans="1:51" ht="15.75" thickBot="1" x14ac:dyDescent="0.3">
      <c r="A387" s="4" t="s">
        <v>19</v>
      </c>
      <c r="B387" s="5"/>
      <c r="C387" s="6"/>
      <c r="D387" s="7">
        <v>44408</v>
      </c>
      <c r="E387" s="8"/>
      <c r="F387" s="8"/>
      <c r="G387" s="8"/>
      <c r="H387" s="9">
        <v>44440</v>
      </c>
      <c r="I387" s="8"/>
      <c r="J387" s="8"/>
      <c r="K387" s="8"/>
      <c r="L387" s="9">
        <v>44470</v>
      </c>
      <c r="M387" s="8"/>
      <c r="N387" s="8"/>
      <c r="O387" s="8"/>
      <c r="P387" s="9"/>
      <c r="Q387" s="8"/>
      <c r="R387" s="8"/>
      <c r="S387" s="8"/>
      <c r="T387" s="9"/>
      <c r="U387" s="8"/>
      <c r="V387" s="8"/>
      <c r="W387" s="8"/>
      <c r="X387" s="9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10"/>
    </row>
    <row r="388" spans="1:51" ht="15.75" thickBot="1" x14ac:dyDescent="0.3">
      <c r="D388" s="11">
        <v>147</v>
      </c>
      <c r="E388" s="12"/>
      <c r="F388" s="12"/>
      <c r="G388" s="12"/>
      <c r="H388" s="12">
        <v>147</v>
      </c>
      <c r="I388" s="12"/>
      <c r="J388" s="12"/>
      <c r="K388" s="12"/>
      <c r="L388" s="12">
        <v>146</v>
      </c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3"/>
    </row>
    <row r="390" spans="1:51" ht="15.75" thickBot="1" x14ac:dyDescent="0.3"/>
    <row r="391" spans="1:51" ht="15.75" thickBot="1" x14ac:dyDescent="0.3">
      <c r="B391" s="1">
        <v>49</v>
      </c>
      <c r="C391" s="14" t="s">
        <v>3</v>
      </c>
      <c r="D391" s="14"/>
      <c r="E391" s="14"/>
      <c r="F391" s="15" t="s">
        <v>4</v>
      </c>
      <c r="G391" s="15"/>
      <c r="H391" s="15"/>
      <c r="I391" s="15"/>
      <c r="J391" s="15"/>
      <c r="K391" s="15"/>
      <c r="L391" s="15" t="s">
        <v>5</v>
      </c>
      <c r="M391" s="15"/>
      <c r="AI391" s="16" t="s">
        <v>6</v>
      </c>
      <c r="AJ391" s="17"/>
      <c r="AK391" s="17"/>
      <c r="AL391" s="17"/>
      <c r="AN391" s="16" t="s">
        <v>7</v>
      </c>
      <c r="AO391" s="17"/>
      <c r="AP391" s="17"/>
      <c r="AQ391" s="17"/>
      <c r="AT391" s="18" t="s">
        <v>20</v>
      </c>
      <c r="AU391" s="19"/>
      <c r="AV391" s="19"/>
      <c r="AW391" s="19"/>
      <c r="AX391" s="19"/>
      <c r="AY391" s="20"/>
    </row>
    <row r="392" spans="1:51" ht="15.75" thickBot="1" x14ac:dyDescent="0.3">
      <c r="C392" s="21">
        <v>12370</v>
      </c>
      <c r="D392" s="22"/>
      <c r="E392" s="22"/>
      <c r="F392" s="23">
        <v>44440</v>
      </c>
      <c r="G392" s="24"/>
      <c r="H392" s="24"/>
      <c r="I392" s="24"/>
      <c r="J392" s="24"/>
      <c r="K392" s="25"/>
      <c r="L392" s="26">
        <v>3</v>
      </c>
      <c r="M392" s="26"/>
      <c r="AI392" s="27">
        <v>420</v>
      </c>
      <c r="AJ392" s="28"/>
      <c r="AK392" s="28"/>
      <c r="AL392" s="28"/>
      <c r="AN392" s="29">
        <f>AI392-D396-H396-L396-P396-T396-X396-AB396-AF396-AJ396-AN396</f>
        <v>0</v>
      </c>
      <c r="AO392" s="30"/>
      <c r="AP392" s="30"/>
      <c r="AQ392" s="30"/>
      <c r="AT392" s="31" t="s">
        <v>21</v>
      </c>
      <c r="AU392" s="32"/>
      <c r="AV392" s="32"/>
      <c r="AW392" s="32" t="s">
        <v>22</v>
      </c>
      <c r="AX392" s="32"/>
      <c r="AY392" s="33"/>
    </row>
    <row r="393" spans="1:51" ht="15.75" thickBot="1" x14ac:dyDescent="0.3">
      <c r="AT393" s="34">
        <v>17</v>
      </c>
      <c r="AU393" s="35"/>
      <c r="AV393" s="35"/>
      <c r="AW393" s="35">
        <v>19</v>
      </c>
      <c r="AX393" s="35"/>
      <c r="AY393" s="36"/>
    </row>
    <row r="394" spans="1:51" ht="15.75" thickBot="1" x14ac:dyDescent="0.3">
      <c r="D394" s="37" t="s">
        <v>8</v>
      </c>
      <c r="E394" s="8"/>
      <c r="F394" s="8"/>
      <c r="G394" s="8"/>
      <c r="H394" s="8" t="s">
        <v>9</v>
      </c>
      <c r="I394" s="8"/>
      <c r="J394" s="8"/>
      <c r="K394" s="8"/>
      <c r="L394" s="8" t="s">
        <v>10</v>
      </c>
      <c r="M394" s="8"/>
      <c r="N394" s="8"/>
      <c r="O394" s="8"/>
      <c r="P394" s="8" t="s">
        <v>11</v>
      </c>
      <c r="Q394" s="8"/>
      <c r="R394" s="8"/>
      <c r="S394" s="8"/>
      <c r="T394" s="8" t="s">
        <v>12</v>
      </c>
      <c r="U394" s="8"/>
      <c r="V394" s="8"/>
      <c r="W394" s="8"/>
      <c r="X394" s="8" t="s">
        <v>13</v>
      </c>
      <c r="Y394" s="8"/>
      <c r="Z394" s="8"/>
      <c r="AA394" s="8"/>
      <c r="AB394" s="8" t="s">
        <v>14</v>
      </c>
      <c r="AC394" s="8"/>
      <c r="AD394" s="8"/>
      <c r="AE394" s="8"/>
      <c r="AF394" s="8" t="s">
        <v>15</v>
      </c>
      <c r="AG394" s="8"/>
      <c r="AH394" s="8"/>
      <c r="AI394" s="8"/>
      <c r="AJ394" s="8" t="s">
        <v>16</v>
      </c>
      <c r="AK394" s="8"/>
      <c r="AL394" s="8"/>
      <c r="AM394" s="8"/>
      <c r="AN394" s="8" t="s">
        <v>17</v>
      </c>
      <c r="AO394" s="8"/>
      <c r="AP394" s="8"/>
      <c r="AQ394" s="10"/>
    </row>
    <row r="395" spans="1:51" ht="15.75" thickBot="1" x14ac:dyDescent="0.3">
      <c r="A395" s="4" t="s">
        <v>19</v>
      </c>
      <c r="B395" s="5"/>
      <c r="C395" s="6"/>
      <c r="D395" s="7">
        <v>44470</v>
      </c>
      <c r="E395" s="8"/>
      <c r="F395" s="8"/>
      <c r="G395" s="8"/>
      <c r="H395" s="9">
        <v>44484</v>
      </c>
      <c r="I395" s="8"/>
      <c r="J395" s="8"/>
      <c r="K395" s="8"/>
      <c r="L395" s="9">
        <v>44515</v>
      </c>
      <c r="M395" s="8"/>
      <c r="N395" s="8"/>
      <c r="O395" s="8"/>
      <c r="P395" s="9"/>
      <c r="Q395" s="8"/>
      <c r="R395" s="8"/>
      <c r="S395" s="8"/>
      <c r="T395" s="9"/>
      <c r="U395" s="8"/>
      <c r="V395" s="8"/>
      <c r="W395" s="8"/>
      <c r="X395" s="9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10"/>
    </row>
    <row r="396" spans="1:51" ht="15.75" thickBot="1" x14ac:dyDescent="0.3">
      <c r="D396" s="11">
        <v>140</v>
      </c>
      <c r="E396" s="12"/>
      <c r="F396" s="12"/>
      <c r="G396" s="12"/>
      <c r="H396" s="12">
        <v>140</v>
      </c>
      <c r="I396" s="12"/>
      <c r="J396" s="12"/>
      <c r="K396" s="12"/>
      <c r="L396" s="12">
        <v>140</v>
      </c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3"/>
    </row>
    <row r="398" spans="1:51" ht="15.75" thickBot="1" x14ac:dyDescent="0.3"/>
    <row r="399" spans="1:51" ht="15.75" thickBot="1" x14ac:dyDescent="0.3">
      <c r="B399" s="1">
        <v>50</v>
      </c>
      <c r="C399" s="14" t="s">
        <v>3</v>
      </c>
      <c r="D399" s="14"/>
      <c r="E399" s="14"/>
      <c r="F399" s="15" t="s">
        <v>4</v>
      </c>
      <c r="G399" s="15"/>
      <c r="H399" s="15"/>
      <c r="I399" s="15"/>
      <c r="J399" s="15"/>
      <c r="K399" s="15"/>
      <c r="L399" s="15" t="s">
        <v>5</v>
      </c>
      <c r="M399" s="15"/>
      <c r="AI399" s="16" t="s">
        <v>6</v>
      </c>
      <c r="AJ399" s="17"/>
      <c r="AK399" s="17"/>
      <c r="AL399" s="17"/>
      <c r="AN399" s="16" t="s">
        <v>7</v>
      </c>
      <c r="AO399" s="17"/>
      <c r="AP399" s="17"/>
      <c r="AQ399" s="17"/>
      <c r="AT399" s="18" t="s">
        <v>20</v>
      </c>
      <c r="AU399" s="19"/>
      <c r="AV399" s="19"/>
      <c r="AW399" s="19"/>
      <c r="AX399" s="19"/>
      <c r="AY399" s="20"/>
    </row>
    <row r="400" spans="1:51" ht="15.75" thickBot="1" x14ac:dyDescent="0.3">
      <c r="C400" s="21">
        <v>460</v>
      </c>
      <c r="D400" s="22"/>
      <c r="E400" s="22"/>
      <c r="F400" s="23">
        <v>44521</v>
      </c>
      <c r="G400" s="24"/>
      <c r="H400" s="24"/>
      <c r="I400" s="24"/>
      <c r="J400" s="24"/>
      <c r="K400" s="25"/>
      <c r="L400" s="26">
        <v>3</v>
      </c>
      <c r="M400" s="26"/>
      <c r="AI400" s="27">
        <v>430</v>
      </c>
      <c r="AJ400" s="28"/>
      <c r="AK400" s="28"/>
      <c r="AL400" s="28"/>
      <c r="AN400" s="29">
        <f>AI400-D404-H404-L404-P404-T404-X404-AB404-AF404-AJ404-AN404</f>
        <v>0</v>
      </c>
      <c r="AO400" s="30"/>
      <c r="AP400" s="30"/>
      <c r="AQ400" s="30"/>
      <c r="AT400" s="31" t="s">
        <v>21</v>
      </c>
      <c r="AU400" s="32"/>
      <c r="AV400" s="32"/>
      <c r="AW400" s="32" t="s">
        <v>22</v>
      </c>
      <c r="AX400" s="32"/>
      <c r="AY400" s="33"/>
    </row>
    <row r="401" spans="1:51" ht="15.75" thickBot="1" x14ac:dyDescent="0.3">
      <c r="AT401" s="34">
        <v>22</v>
      </c>
      <c r="AU401" s="35"/>
      <c r="AV401" s="35"/>
      <c r="AW401" s="35">
        <v>24</v>
      </c>
      <c r="AX401" s="35"/>
      <c r="AY401" s="36"/>
    </row>
    <row r="402" spans="1:51" ht="15.75" thickBot="1" x14ac:dyDescent="0.3">
      <c r="D402" s="37" t="s">
        <v>8</v>
      </c>
      <c r="E402" s="8"/>
      <c r="F402" s="8"/>
      <c r="G402" s="8"/>
      <c r="H402" s="8" t="s">
        <v>9</v>
      </c>
      <c r="I402" s="8"/>
      <c r="J402" s="8"/>
      <c r="K402" s="8"/>
      <c r="L402" s="8" t="s">
        <v>10</v>
      </c>
      <c r="M402" s="8"/>
      <c r="N402" s="8"/>
      <c r="O402" s="8"/>
      <c r="P402" s="8" t="s">
        <v>11</v>
      </c>
      <c r="Q402" s="8"/>
      <c r="R402" s="8"/>
      <c r="S402" s="8"/>
      <c r="T402" s="8" t="s">
        <v>12</v>
      </c>
      <c r="U402" s="8"/>
      <c r="V402" s="8"/>
      <c r="W402" s="8"/>
      <c r="X402" s="8" t="s">
        <v>13</v>
      </c>
      <c r="Y402" s="8"/>
      <c r="Z402" s="8"/>
      <c r="AA402" s="8"/>
      <c r="AB402" s="8" t="s">
        <v>14</v>
      </c>
      <c r="AC402" s="8"/>
      <c r="AD402" s="8"/>
      <c r="AE402" s="8"/>
      <c r="AF402" s="8" t="s">
        <v>15</v>
      </c>
      <c r="AG402" s="8"/>
      <c r="AH402" s="8"/>
      <c r="AI402" s="8"/>
      <c r="AJ402" s="8" t="s">
        <v>16</v>
      </c>
      <c r="AK402" s="8"/>
      <c r="AL402" s="8"/>
      <c r="AM402" s="8"/>
      <c r="AN402" s="8" t="s">
        <v>17</v>
      </c>
      <c r="AO402" s="8"/>
      <c r="AP402" s="8"/>
      <c r="AQ402" s="10"/>
    </row>
    <row r="403" spans="1:51" ht="15.75" thickBot="1" x14ac:dyDescent="0.3">
      <c r="A403" s="4" t="s">
        <v>19</v>
      </c>
      <c r="B403" s="5"/>
      <c r="C403" s="6"/>
      <c r="D403" s="7">
        <v>44545</v>
      </c>
      <c r="E403" s="8"/>
      <c r="F403" s="8"/>
      <c r="G403" s="8"/>
      <c r="H403" s="9">
        <v>44579</v>
      </c>
      <c r="I403" s="8"/>
      <c r="J403" s="8"/>
      <c r="K403" s="8"/>
      <c r="L403" s="9">
        <v>44590</v>
      </c>
      <c r="M403" s="8"/>
      <c r="N403" s="8"/>
      <c r="O403" s="8"/>
      <c r="P403" s="9"/>
      <c r="Q403" s="8"/>
      <c r="R403" s="8"/>
      <c r="S403" s="8"/>
      <c r="T403" s="9"/>
      <c r="U403" s="8"/>
      <c r="V403" s="8"/>
      <c r="W403" s="8"/>
      <c r="X403" s="9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10"/>
    </row>
    <row r="404" spans="1:51" ht="15.75" thickBot="1" x14ac:dyDescent="0.3">
      <c r="D404" s="11">
        <v>143</v>
      </c>
      <c r="E404" s="12"/>
      <c r="F404" s="12"/>
      <c r="G404" s="12"/>
      <c r="H404" s="12">
        <v>258</v>
      </c>
      <c r="I404" s="12"/>
      <c r="J404" s="12"/>
      <c r="K404" s="12"/>
      <c r="L404" s="12">
        <v>29</v>
      </c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3"/>
    </row>
    <row r="406" spans="1:51" ht="15.75" thickBot="1" x14ac:dyDescent="0.3"/>
    <row r="407" spans="1:51" ht="15.75" thickBot="1" x14ac:dyDescent="0.3">
      <c r="B407" s="1">
        <v>51</v>
      </c>
      <c r="C407" s="14" t="s">
        <v>3</v>
      </c>
      <c r="D407" s="14"/>
      <c r="E407" s="14"/>
      <c r="F407" s="15" t="s">
        <v>4</v>
      </c>
      <c r="G407" s="15"/>
      <c r="H407" s="15"/>
      <c r="I407" s="15"/>
      <c r="J407" s="15"/>
      <c r="K407" s="15"/>
      <c r="L407" s="15" t="s">
        <v>5</v>
      </c>
      <c r="M407" s="15"/>
      <c r="AI407" s="16" t="s">
        <v>6</v>
      </c>
      <c r="AJ407" s="17"/>
      <c r="AK407" s="17"/>
      <c r="AL407" s="17"/>
      <c r="AN407" s="16" t="s">
        <v>7</v>
      </c>
      <c r="AO407" s="17"/>
      <c r="AP407" s="17"/>
      <c r="AQ407" s="17"/>
      <c r="AT407" s="18" t="s">
        <v>20</v>
      </c>
      <c r="AU407" s="19"/>
      <c r="AV407" s="19"/>
      <c r="AW407" s="19"/>
      <c r="AX407" s="19"/>
      <c r="AY407" s="20"/>
    </row>
    <row r="408" spans="1:51" ht="15.75" thickBot="1" x14ac:dyDescent="0.3">
      <c r="C408" s="21">
        <v>669</v>
      </c>
      <c r="D408" s="22"/>
      <c r="E408" s="22"/>
      <c r="F408" s="23">
        <v>44552</v>
      </c>
      <c r="G408" s="24"/>
      <c r="H408" s="24"/>
      <c r="I408" s="24"/>
      <c r="J408" s="24"/>
      <c r="K408" s="25"/>
      <c r="L408" s="26">
        <v>4</v>
      </c>
      <c r="M408" s="26"/>
      <c r="AI408" s="27">
        <v>460</v>
      </c>
      <c r="AJ408" s="28"/>
      <c r="AK408" s="28"/>
      <c r="AL408" s="28"/>
      <c r="AN408" s="29">
        <f>AI408-D412-H412-L412-P412-T412-X412-AB412-AF412-AJ412-AN412</f>
        <v>0</v>
      </c>
      <c r="AO408" s="30"/>
      <c r="AP408" s="30"/>
      <c r="AQ408" s="30"/>
      <c r="AT408" s="31" t="s">
        <v>21</v>
      </c>
      <c r="AU408" s="32"/>
      <c r="AV408" s="32"/>
      <c r="AW408" s="32" t="s">
        <v>22</v>
      </c>
      <c r="AX408" s="32"/>
      <c r="AY408" s="33"/>
    </row>
    <row r="409" spans="1:51" ht="15.75" thickBot="1" x14ac:dyDescent="0.3">
      <c r="AT409" s="34">
        <v>24</v>
      </c>
      <c r="AU409" s="35"/>
      <c r="AV409" s="35"/>
      <c r="AW409" s="35">
        <v>3</v>
      </c>
      <c r="AX409" s="35"/>
      <c r="AY409" s="36"/>
    </row>
    <row r="410" spans="1:51" ht="15.75" thickBot="1" x14ac:dyDescent="0.3">
      <c r="D410" s="37" t="s">
        <v>8</v>
      </c>
      <c r="E410" s="8"/>
      <c r="F410" s="8"/>
      <c r="G410" s="8"/>
      <c r="H410" s="8" t="s">
        <v>9</v>
      </c>
      <c r="I410" s="8"/>
      <c r="J410" s="8"/>
      <c r="K410" s="8"/>
      <c r="L410" s="8" t="s">
        <v>10</v>
      </c>
      <c r="M410" s="8"/>
      <c r="N410" s="8"/>
      <c r="O410" s="8"/>
      <c r="P410" s="8" t="s">
        <v>11</v>
      </c>
      <c r="Q410" s="8"/>
      <c r="R410" s="8"/>
      <c r="S410" s="8"/>
      <c r="T410" s="8" t="s">
        <v>12</v>
      </c>
      <c r="U410" s="8"/>
      <c r="V410" s="8"/>
      <c r="W410" s="8"/>
      <c r="X410" s="8" t="s">
        <v>13</v>
      </c>
      <c r="Y410" s="8"/>
      <c r="Z410" s="8"/>
      <c r="AA410" s="8"/>
      <c r="AB410" s="8" t="s">
        <v>14</v>
      </c>
      <c r="AC410" s="8"/>
      <c r="AD410" s="8"/>
      <c r="AE410" s="8"/>
      <c r="AF410" s="8" t="s">
        <v>15</v>
      </c>
      <c r="AG410" s="8"/>
      <c r="AH410" s="8"/>
      <c r="AI410" s="8"/>
      <c r="AJ410" s="8" t="s">
        <v>16</v>
      </c>
      <c r="AK410" s="8"/>
      <c r="AL410" s="8"/>
      <c r="AM410" s="8"/>
      <c r="AN410" s="8" t="s">
        <v>17</v>
      </c>
      <c r="AO410" s="8"/>
      <c r="AP410" s="8"/>
      <c r="AQ410" s="10"/>
    </row>
    <row r="411" spans="1:51" ht="15.75" thickBot="1" x14ac:dyDescent="0.3">
      <c r="A411" s="4" t="s">
        <v>19</v>
      </c>
      <c r="B411" s="5"/>
      <c r="C411" s="6"/>
      <c r="D411" s="7">
        <v>44590</v>
      </c>
      <c r="E411" s="8"/>
      <c r="F411" s="8"/>
      <c r="G411" s="8"/>
      <c r="H411" s="9">
        <v>44607</v>
      </c>
      <c r="I411" s="8"/>
      <c r="J411" s="8"/>
      <c r="K411" s="8"/>
      <c r="L411" s="9"/>
      <c r="M411" s="8"/>
      <c r="N411" s="8"/>
      <c r="O411" s="8"/>
      <c r="P411" s="9"/>
      <c r="Q411" s="8"/>
      <c r="R411" s="8"/>
      <c r="S411" s="8"/>
      <c r="T411" s="9"/>
      <c r="U411" s="8"/>
      <c r="V411" s="8"/>
      <c r="W411" s="8"/>
      <c r="X411" s="9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10"/>
    </row>
    <row r="412" spans="1:51" ht="15.75" thickBot="1" x14ac:dyDescent="0.3">
      <c r="D412" s="11">
        <v>230</v>
      </c>
      <c r="E412" s="12"/>
      <c r="F412" s="12"/>
      <c r="G412" s="12"/>
      <c r="H412" s="12">
        <v>230</v>
      </c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3"/>
    </row>
    <row r="414" spans="1:51" ht="15.75" thickBot="1" x14ac:dyDescent="0.3"/>
    <row r="415" spans="1:51" ht="15.75" thickBot="1" x14ac:dyDescent="0.3">
      <c r="B415" s="1">
        <v>52</v>
      </c>
      <c r="C415" s="14" t="s">
        <v>3</v>
      </c>
      <c r="D415" s="14"/>
      <c r="E415" s="14"/>
      <c r="F415" s="15" t="s">
        <v>4</v>
      </c>
      <c r="G415" s="15"/>
      <c r="H415" s="15"/>
      <c r="I415" s="15"/>
      <c r="J415" s="15"/>
      <c r="K415" s="15"/>
      <c r="L415" s="15" t="s">
        <v>5</v>
      </c>
      <c r="M415" s="15"/>
      <c r="AI415" s="16" t="s">
        <v>6</v>
      </c>
      <c r="AJ415" s="17"/>
      <c r="AK415" s="17"/>
      <c r="AL415" s="17"/>
      <c r="AN415" s="16" t="s">
        <v>7</v>
      </c>
      <c r="AO415" s="17"/>
      <c r="AP415" s="17"/>
      <c r="AQ415" s="17"/>
      <c r="AT415" s="18" t="s">
        <v>20</v>
      </c>
      <c r="AU415" s="19"/>
      <c r="AV415" s="19"/>
      <c r="AW415" s="19"/>
      <c r="AX415" s="19"/>
      <c r="AY415" s="20"/>
    </row>
    <row r="416" spans="1:51" ht="15.75" thickBot="1" x14ac:dyDescent="0.3">
      <c r="C416" s="38">
        <v>846</v>
      </c>
      <c r="D416" s="39"/>
      <c r="E416" s="39"/>
      <c r="F416" s="23">
        <v>44607</v>
      </c>
      <c r="G416" s="24"/>
      <c r="H416" s="24"/>
      <c r="I416" s="24"/>
      <c r="J416" s="24"/>
      <c r="K416" s="25"/>
      <c r="L416" s="26">
        <v>4</v>
      </c>
      <c r="M416" s="26"/>
      <c r="AI416" s="27">
        <v>780</v>
      </c>
      <c r="AJ416" s="28"/>
      <c r="AK416" s="28"/>
      <c r="AL416" s="28"/>
      <c r="AN416" s="29">
        <f>AI416-D420-H420-L420-P420-T420-X420-AB420-AF420-AJ420-AN420</f>
        <v>0</v>
      </c>
      <c r="AO416" s="30"/>
      <c r="AP416" s="30"/>
      <c r="AQ416" s="30"/>
      <c r="AT416" s="31" t="s">
        <v>21</v>
      </c>
      <c r="AU416" s="32"/>
      <c r="AV416" s="32"/>
      <c r="AW416" s="32" t="s">
        <v>22</v>
      </c>
      <c r="AX416" s="32"/>
      <c r="AY416" s="33"/>
    </row>
    <row r="417" spans="1:51" ht="15.75" thickBot="1" x14ac:dyDescent="0.3">
      <c r="AT417" s="34">
        <v>4</v>
      </c>
      <c r="AU417" s="35"/>
      <c r="AV417" s="35"/>
      <c r="AW417" s="35">
        <v>7</v>
      </c>
      <c r="AX417" s="35"/>
      <c r="AY417" s="36"/>
    </row>
    <row r="418" spans="1:51" ht="15.75" thickBot="1" x14ac:dyDescent="0.3">
      <c r="D418" s="37" t="s">
        <v>8</v>
      </c>
      <c r="E418" s="8"/>
      <c r="F418" s="8"/>
      <c r="G418" s="8"/>
      <c r="H418" s="8" t="s">
        <v>9</v>
      </c>
      <c r="I418" s="8"/>
      <c r="J418" s="8"/>
      <c r="K418" s="8"/>
      <c r="L418" s="8" t="s">
        <v>10</v>
      </c>
      <c r="M418" s="8"/>
      <c r="N418" s="8"/>
      <c r="O418" s="8"/>
      <c r="P418" s="8" t="s">
        <v>11</v>
      </c>
      <c r="Q418" s="8"/>
      <c r="R418" s="8"/>
      <c r="S418" s="8"/>
      <c r="T418" s="8" t="s">
        <v>12</v>
      </c>
      <c r="U418" s="8"/>
      <c r="V418" s="8"/>
      <c r="W418" s="8"/>
      <c r="X418" s="8" t="s">
        <v>13</v>
      </c>
      <c r="Y418" s="8"/>
      <c r="Z418" s="8"/>
      <c r="AA418" s="8"/>
      <c r="AB418" s="8" t="s">
        <v>14</v>
      </c>
      <c r="AC418" s="8"/>
      <c r="AD418" s="8"/>
      <c r="AE418" s="8"/>
      <c r="AF418" s="8" t="s">
        <v>15</v>
      </c>
      <c r="AG418" s="8"/>
      <c r="AH418" s="8"/>
      <c r="AI418" s="8"/>
      <c r="AJ418" s="8" t="s">
        <v>16</v>
      </c>
      <c r="AK418" s="8"/>
      <c r="AL418" s="8"/>
      <c r="AM418" s="8"/>
      <c r="AN418" s="8" t="s">
        <v>17</v>
      </c>
      <c r="AO418" s="8"/>
      <c r="AP418" s="8"/>
      <c r="AQ418" s="10"/>
    </row>
    <row r="419" spans="1:51" ht="15.75" thickBot="1" x14ac:dyDescent="0.3">
      <c r="A419" s="4" t="s">
        <v>19</v>
      </c>
      <c r="B419" s="5"/>
      <c r="C419" s="6"/>
      <c r="D419" s="7">
        <v>44636</v>
      </c>
      <c r="E419" s="8"/>
      <c r="F419" s="8"/>
      <c r="G419" s="8"/>
      <c r="H419" s="9">
        <v>44652</v>
      </c>
      <c r="I419" s="8"/>
      <c r="J419" s="8"/>
      <c r="K419" s="8"/>
      <c r="L419" s="9">
        <v>44664</v>
      </c>
      <c r="M419" s="8"/>
      <c r="N419" s="8"/>
      <c r="O419" s="8"/>
      <c r="P419" s="9">
        <v>44683</v>
      </c>
      <c r="Q419" s="8"/>
      <c r="R419" s="8"/>
      <c r="S419" s="8"/>
      <c r="T419" s="9"/>
      <c r="U419" s="8"/>
      <c r="V419" s="8"/>
      <c r="W419" s="8"/>
      <c r="X419" s="9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10"/>
    </row>
    <row r="420" spans="1:51" ht="15.75" thickBot="1" x14ac:dyDescent="0.3">
      <c r="D420" s="11">
        <v>195</v>
      </c>
      <c r="E420" s="12"/>
      <c r="F420" s="12"/>
      <c r="G420" s="12"/>
      <c r="H420" s="12">
        <v>195</v>
      </c>
      <c r="I420" s="12"/>
      <c r="J420" s="12"/>
      <c r="K420" s="12"/>
      <c r="L420" s="12">
        <v>195</v>
      </c>
      <c r="M420" s="12"/>
      <c r="N420" s="12"/>
      <c r="O420" s="12"/>
      <c r="P420" s="12">
        <v>195</v>
      </c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3"/>
    </row>
    <row r="422" spans="1:51" ht="15.75" thickBot="1" x14ac:dyDescent="0.3"/>
    <row r="423" spans="1:51" ht="15.75" thickBot="1" x14ac:dyDescent="0.3">
      <c r="B423" s="1">
        <v>53</v>
      </c>
      <c r="C423" s="14" t="s">
        <v>3</v>
      </c>
      <c r="D423" s="14"/>
      <c r="E423" s="14"/>
      <c r="F423" s="15" t="s">
        <v>4</v>
      </c>
      <c r="G423" s="15"/>
      <c r="H423" s="15"/>
      <c r="I423" s="15"/>
      <c r="J423" s="15"/>
      <c r="K423" s="15"/>
      <c r="L423" s="15" t="s">
        <v>5</v>
      </c>
      <c r="M423" s="15"/>
      <c r="AI423" s="16" t="s">
        <v>6</v>
      </c>
      <c r="AJ423" s="17"/>
      <c r="AK423" s="17"/>
      <c r="AL423" s="17"/>
      <c r="AN423" s="16" t="s">
        <v>7</v>
      </c>
      <c r="AO423" s="17"/>
      <c r="AP423" s="17"/>
      <c r="AQ423" s="17"/>
      <c r="AT423" s="18" t="s">
        <v>20</v>
      </c>
      <c r="AU423" s="19"/>
      <c r="AV423" s="19"/>
      <c r="AW423" s="19"/>
      <c r="AX423" s="19"/>
      <c r="AY423" s="20"/>
    </row>
    <row r="424" spans="1:51" ht="15.75" thickBot="1" x14ac:dyDescent="0.3">
      <c r="C424" s="38">
        <v>1113</v>
      </c>
      <c r="D424" s="39"/>
      <c r="E424" s="39"/>
      <c r="F424" s="23">
        <v>44639</v>
      </c>
      <c r="G424" s="24"/>
      <c r="H424" s="24"/>
      <c r="I424" s="24"/>
      <c r="J424" s="24"/>
      <c r="K424" s="25"/>
      <c r="L424" s="26">
        <v>4</v>
      </c>
      <c r="M424" s="26"/>
      <c r="AI424" s="27">
        <v>520</v>
      </c>
      <c r="AJ424" s="28"/>
      <c r="AK424" s="28"/>
      <c r="AL424" s="28"/>
      <c r="AN424" s="29">
        <f>AI424-D428-H428-L428-P428-T428-X428-AB428-AF428-AJ428-AN428</f>
        <v>0</v>
      </c>
      <c r="AO424" s="30"/>
      <c r="AP424" s="30"/>
      <c r="AQ424" s="30"/>
      <c r="AT424" s="31" t="s">
        <v>21</v>
      </c>
      <c r="AU424" s="32"/>
      <c r="AV424" s="32"/>
      <c r="AW424" s="32" t="s">
        <v>22</v>
      </c>
      <c r="AX424" s="32"/>
      <c r="AY424" s="33"/>
    </row>
    <row r="425" spans="1:51" ht="15.75" thickBot="1" x14ac:dyDescent="0.3">
      <c r="AT425" s="34">
        <v>6</v>
      </c>
      <c r="AU425" s="35"/>
      <c r="AV425" s="35"/>
      <c r="AW425" s="35">
        <v>9</v>
      </c>
      <c r="AX425" s="35"/>
      <c r="AY425" s="36"/>
    </row>
    <row r="426" spans="1:51" ht="15.75" thickBot="1" x14ac:dyDescent="0.3">
      <c r="D426" s="37" t="s">
        <v>8</v>
      </c>
      <c r="E426" s="8"/>
      <c r="F426" s="8"/>
      <c r="G426" s="8"/>
      <c r="H426" s="8" t="s">
        <v>9</v>
      </c>
      <c r="I426" s="8"/>
      <c r="J426" s="8"/>
      <c r="K426" s="8"/>
      <c r="L426" s="8" t="s">
        <v>10</v>
      </c>
      <c r="M426" s="8"/>
      <c r="N426" s="8"/>
      <c r="O426" s="8"/>
      <c r="P426" s="8" t="s">
        <v>11</v>
      </c>
      <c r="Q426" s="8"/>
      <c r="R426" s="8"/>
      <c r="S426" s="8"/>
      <c r="T426" s="8" t="s">
        <v>12</v>
      </c>
      <c r="U426" s="8"/>
      <c r="V426" s="8"/>
      <c r="W426" s="8"/>
      <c r="X426" s="8" t="s">
        <v>13</v>
      </c>
      <c r="Y426" s="8"/>
      <c r="Z426" s="8"/>
      <c r="AA426" s="8"/>
      <c r="AB426" s="8" t="s">
        <v>14</v>
      </c>
      <c r="AC426" s="8"/>
      <c r="AD426" s="8"/>
      <c r="AE426" s="8"/>
      <c r="AF426" s="8" t="s">
        <v>15</v>
      </c>
      <c r="AG426" s="8"/>
      <c r="AH426" s="8"/>
      <c r="AI426" s="8"/>
      <c r="AJ426" s="8" t="s">
        <v>16</v>
      </c>
      <c r="AK426" s="8"/>
      <c r="AL426" s="8"/>
      <c r="AM426" s="8"/>
      <c r="AN426" s="8" t="s">
        <v>17</v>
      </c>
      <c r="AO426" s="8"/>
      <c r="AP426" s="8"/>
      <c r="AQ426" s="10"/>
    </row>
    <row r="427" spans="1:51" ht="15.75" thickBot="1" x14ac:dyDescent="0.3">
      <c r="A427" s="4" t="s">
        <v>19</v>
      </c>
      <c r="B427" s="5"/>
      <c r="C427" s="6"/>
      <c r="D427" s="7">
        <v>44652</v>
      </c>
      <c r="E427" s="8"/>
      <c r="F427" s="8"/>
      <c r="G427" s="8"/>
      <c r="H427" s="9">
        <v>44664</v>
      </c>
      <c r="I427" s="8"/>
      <c r="J427" s="8"/>
      <c r="K427" s="8"/>
      <c r="L427" s="9">
        <v>44683</v>
      </c>
      <c r="M427" s="8"/>
      <c r="N427" s="8"/>
      <c r="O427" s="8"/>
      <c r="P427" s="9">
        <v>44696</v>
      </c>
      <c r="Q427" s="8"/>
      <c r="R427" s="8"/>
      <c r="S427" s="8"/>
      <c r="T427" s="9"/>
      <c r="U427" s="8"/>
      <c r="V427" s="8"/>
      <c r="W427" s="8"/>
      <c r="X427" s="9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10"/>
    </row>
    <row r="428" spans="1:51" ht="15.75" thickBot="1" x14ac:dyDescent="0.3">
      <c r="D428" s="11">
        <v>130</v>
      </c>
      <c r="E428" s="12"/>
      <c r="F428" s="12"/>
      <c r="G428" s="12"/>
      <c r="H428" s="12">
        <v>130</v>
      </c>
      <c r="I428" s="12"/>
      <c r="J428" s="12"/>
      <c r="K428" s="12"/>
      <c r="L428" s="12">
        <v>130</v>
      </c>
      <c r="M428" s="12"/>
      <c r="N428" s="12"/>
      <c r="O428" s="12"/>
      <c r="P428" s="12">
        <v>130</v>
      </c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3"/>
    </row>
    <row r="430" spans="1:51" ht="15.75" thickBot="1" x14ac:dyDescent="0.3"/>
    <row r="431" spans="1:51" ht="15.75" thickBot="1" x14ac:dyDescent="0.3">
      <c r="B431" s="1">
        <v>54</v>
      </c>
      <c r="C431" s="14" t="s">
        <v>3</v>
      </c>
      <c r="D431" s="14"/>
      <c r="E431" s="14"/>
      <c r="F431" s="15" t="s">
        <v>4</v>
      </c>
      <c r="G431" s="15"/>
      <c r="H431" s="15"/>
      <c r="I431" s="15"/>
      <c r="J431" s="15"/>
      <c r="K431" s="15"/>
      <c r="L431" s="15" t="s">
        <v>5</v>
      </c>
      <c r="M431" s="15"/>
      <c r="AI431" s="16" t="s">
        <v>6</v>
      </c>
      <c r="AJ431" s="17"/>
      <c r="AK431" s="17"/>
      <c r="AL431" s="17"/>
      <c r="AN431" s="16" t="s">
        <v>7</v>
      </c>
      <c r="AO431" s="17"/>
      <c r="AP431" s="17"/>
      <c r="AQ431" s="17"/>
      <c r="AT431" s="18" t="s">
        <v>20</v>
      </c>
      <c r="AU431" s="19"/>
      <c r="AV431" s="19"/>
      <c r="AW431" s="19"/>
      <c r="AX431" s="19"/>
      <c r="AY431" s="20"/>
    </row>
    <row r="432" spans="1:51" ht="15.75" thickBot="1" x14ac:dyDescent="0.3">
      <c r="C432" s="38">
        <v>1298</v>
      </c>
      <c r="D432" s="39"/>
      <c r="E432" s="39"/>
      <c r="F432" s="23">
        <v>44678</v>
      </c>
      <c r="G432" s="24"/>
      <c r="H432" s="24"/>
      <c r="I432" s="24"/>
      <c r="J432" s="24"/>
      <c r="K432" s="25"/>
      <c r="L432" s="26">
        <v>3</v>
      </c>
      <c r="M432" s="26"/>
      <c r="AI432" s="27">
        <v>450</v>
      </c>
      <c r="AJ432" s="28"/>
      <c r="AK432" s="28"/>
      <c r="AL432" s="28"/>
      <c r="AN432" s="29">
        <f>AI432-D436-H436-L436-P436-T436-X436-AB436-AF436-AJ436-AN436</f>
        <v>0</v>
      </c>
      <c r="AO432" s="30"/>
      <c r="AP432" s="30"/>
      <c r="AQ432" s="30"/>
      <c r="AT432" s="31" t="s">
        <v>21</v>
      </c>
      <c r="AU432" s="32"/>
      <c r="AV432" s="32"/>
      <c r="AW432" s="32" t="s">
        <v>22</v>
      </c>
      <c r="AX432" s="32"/>
      <c r="AY432" s="33"/>
    </row>
    <row r="433" spans="1:51" ht="15.75" thickBot="1" x14ac:dyDescent="0.3">
      <c r="AT433" s="34">
        <v>9</v>
      </c>
      <c r="AU433" s="35"/>
      <c r="AV433" s="35"/>
      <c r="AW433" s="35">
        <v>11</v>
      </c>
      <c r="AX433" s="35"/>
      <c r="AY433" s="36"/>
    </row>
    <row r="434" spans="1:51" ht="15.75" thickBot="1" x14ac:dyDescent="0.3">
      <c r="D434" s="37" t="s">
        <v>8</v>
      </c>
      <c r="E434" s="8"/>
      <c r="F434" s="8"/>
      <c r="G434" s="8"/>
      <c r="H434" s="8" t="s">
        <v>9</v>
      </c>
      <c r="I434" s="8"/>
      <c r="J434" s="8"/>
      <c r="K434" s="8"/>
      <c r="L434" s="8" t="s">
        <v>10</v>
      </c>
      <c r="M434" s="8"/>
      <c r="N434" s="8"/>
      <c r="O434" s="8"/>
      <c r="P434" s="8" t="s">
        <v>11</v>
      </c>
      <c r="Q434" s="8"/>
      <c r="R434" s="8"/>
      <c r="S434" s="8"/>
      <c r="T434" s="8" t="s">
        <v>12</v>
      </c>
      <c r="U434" s="8"/>
      <c r="V434" s="8"/>
      <c r="W434" s="8"/>
      <c r="X434" s="8" t="s">
        <v>13</v>
      </c>
      <c r="Y434" s="8"/>
      <c r="Z434" s="8"/>
      <c r="AA434" s="8"/>
      <c r="AB434" s="8" t="s">
        <v>14</v>
      </c>
      <c r="AC434" s="8"/>
      <c r="AD434" s="8"/>
      <c r="AE434" s="8"/>
      <c r="AF434" s="8" t="s">
        <v>15</v>
      </c>
      <c r="AG434" s="8"/>
      <c r="AH434" s="8"/>
      <c r="AI434" s="8"/>
      <c r="AJ434" s="8" t="s">
        <v>16</v>
      </c>
      <c r="AK434" s="8"/>
      <c r="AL434" s="8"/>
      <c r="AM434" s="8"/>
      <c r="AN434" s="8" t="s">
        <v>17</v>
      </c>
      <c r="AO434" s="8"/>
      <c r="AP434" s="8"/>
      <c r="AQ434" s="10"/>
    </row>
    <row r="435" spans="1:51" ht="15.75" thickBot="1" x14ac:dyDescent="0.3">
      <c r="A435" s="4" t="s">
        <v>19</v>
      </c>
      <c r="B435" s="5"/>
      <c r="C435" s="6"/>
      <c r="D435" s="7">
        <v>44695</v>
      </c>
      <c r="E435" s="8"/>
      <c r="F435" s="8"/>
      <c r="G435" s="8"/>
      <c r="H435" s="9">
        <v>44729</v>
      </c>
      <c r="I435" s="8"/>
      <c r="J435" s="8"/>
      <c r="K435" s="8"/>
      <c r="L435" s="9">
        <v>44758</v>
      </c>
      <c r="M435" s="8"/>
      <c r="N435" s="8"/>
      <c r="O435" s="8"/>
      <c r="P435" s="9"/>
      <c r="Q435" s="8"/>
      <c r="R435" s="8"/>
      <c r="S435" s="8"/>
      <c r="T435" s="9"/>
      <c r="U435" s="8"/>
      <c r="V435" s="8"/>
      <c r="W435" s="8"/>
      <c r="X435" s="9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10"/>
    </row>
    <row r="436" spans="1:51" ht="15.75" thickBot="1" x14ac:dyDescent="0.3">
      <c r="D436" s="11">
        <v>150</v>
      </c>
      <c r="E436" s="12"/>
      <c r="F436" s="12"/>
      <c r="G436" s="12"/>
      <c r="H436" s="12">
        <v>150</v>
      </c>
      <c r="I436" s="12"/>
      <c r="J436" s="12"/>
      <c r="K436" s="12"/>
      <c r="L436" s="12">
        <v>150</v>
      </c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3"/>
    </row>
    <row r="438" spans="1:51" ht="15.75" thickBot="1" x14ac:dyDescent="0.3"/>
    <row r="439" spans="1:51" ht="15.75" thickBot="1" x14ac:dyDescent="0.3">
      <c r="B439" s="1">
        <v>55</v>
      </c>
      <c r="C439" s="14" t="s">
        <v>3</v>
      </c>
      <c r="D439" s="14"/>
      <c r="E439" s="14"/>
      <c r="F439" s="15" t="s">
        <v>4</v>
      </c>
      <c r="G439" s="15"/>
      <c r="H439" s="15"/>
      <c r="I439" s="15"/>
      <c r="J439" s="15"/>
      <c r="K439" s="15"/>
      <c r="L439" s="15" t="s">
        <v>5</v>
      </c>
      <c r="M439" s="15"/>
      <c r="AI439" s="16" t="s">
        <v>6</v>
      </c>
      <c r="AJ439" s="17"/>
      <c r="AK439" s="17"/>
      <c r="AL439" s="17"/>
      <c r="AN439" s="16" t="s">
        <v>7</v>
      </c>
      <c r="AO439" s="17"/>
      <c r="AP439" s="17"/>
      <c r="AQ439" s="17"/>
      <c r="AT439" s="18" t="s">
        <v>20</v>
      </c>
      <c r="AU439" s="19"/>
      <c r="AV439" s="19"/>
      <c r="AW439" s="19"/>
      <c r="AX439" s="19"/>
      <c r="AY439" s="20"/>
    </row>
    <row r="440" spans="1:51" ht="15.75" thickBot="1" x14ac:dyDescent="0.3">
      <c r="C440" s="21">
        <v>1536</v>
      </c>
      <c r="D440" s="22"/>
      <c r="E440" s="22"/>
      <c r="F440" s="23">
        <v>44708</v>
      </c>
      <c r="G440" s="24"/>
      <c r="H440" s="24"/>
      <c r="I440" s="24"/>
      <c r="J440" s="24"/>
      <c r="K440" s="25"/>
      <c r="L440" s="26">
        <v>2</v>
      </c>
      <c r="M440" s="26"/>
      <c r="AI440" s="27">
        <v>280</v>
      </c>
      <c r="AJ440" s="28"/>
      <c r="AK440" s="28"/>
      <c r="AL440" s="28"/>
      <c r="AN440" s="29">
        <f>AI440-D444-H444-L444-P444-T444-X444-AB444-AF444-AJ444-AN444</f>
        <v>0</v>
      </c>
      <c r="AO440" s="30"/>
      <c r="AP440" s="30"/>
      <c r="AQ440" s="30"/>
      <c r="AT440" s="31" t="s">
        <v>21</v>
      </c>
      <c r="AU440" s="32"/>
      <c r="AV440" s="32"/>
      <c r="AW440" s="32" t="s">
        <v>22</v>
      </c>
      <c r="AX440" s="32"/>
      <c r="AY440" s="33"/>
    </row>
    <row r="441" spans="1:51" ht="15.75" thickBot="1" x14ac:dyDescent="0.3">
      <c r="C441">
        <v>1536</v>
      </c>
      <c r="AT441" s="34">
        <v>11</v>
      </c>
      <c r="AU441" s="35"/>
      <c r="AV441" s="35"/>
      <c r="AW441" s="35">
        <v>12</v>
      </c>
      <c r="AX441" s="35"/>
      <c r="AY441" s="36"/>
    </row>
    <row r="442" spans="1:51" ht="15.75" thickBot="1" x14ac:dyDescent="0.3">
      <c r="D442" s="37" t="s">
        <v>8</v>
      </c>
      <c r="E442" s="8"/>
      <c r="F442" s="8"/>
      <c r="G442" s="8"/>
      <c r="H442" s="8" t="s">
        <v>9</v>
      </c>
      <c r="I442" s="8"/>
      <c r="J442" s="8"/>
      <c r="K442" s="8"/>
      <c r="L442" s="8" t="s">
        <v>10</v>
      </c>
      <c r="M442" s="8"/>
      <c r="N442" s="8"/>
      <c r="O442" s="8"/>
      <c r="P442" s="8" t="s">
        <v>11</v>
      </c>
      <c r="Q442" s="8"/>
      <c r="R442" s="8"/>
      <c r="S442" s="8"/>
      <c r="T442" s="8" t="s">
        <v>12</v>
      </c>
      <c r="U442" s="8"/>
      <c r="V442" s="8"/>
      <c r="W442" s="8"/>
      <c r="X442" s="8" t="s">
        <v>13</v>
      </c>
      <c r="Y442" s="8"/>
      <c r="Z442" s="8"/>
      <c r="AA442" s="8"/>
      <c r="AB442" s="8" t="s">
        <v>14</v>
      </c>
      <c r="AC442" s="8"/>
      <c r="AD442" s="8"/>
      <c r="AE442" s="8"/>
      <c r="AF442" s="8" t="s">
        <v>15</v>
      </c>
      <c r="AG442" s="8"/>
      <c r="AH442" s="8"/>
      <c r="AI442" s="8"/>
      <c r="AJ442" s="8" t="s">
        <v>16</v>
      </c>
      <c r="AK442" s="8"/>
      <c r="AL442" s="8"/>
      <c r="AM442" s="8"/>
      <c r="AN442" s="8" t="s">
        <v>17</v>
      </c>
      <c r="AO442" s="8"/>
      <c r="AP442" s="8"/>
      <c r="AQ442" s="10"/>
    </row>
    <row r="443" spans="1:51" ht="15.75" thickBot="1" x14ac:dyDescent="0.3">
      <c r="A443" s="4" t="s">
        <v>19</v>
      </c>
      <c r="B443" s="5"/>
      <c r="C443" s="6"/>
      <c r="D443" s="7">
        <v>44729</v>
      </c>
      <c r="E443" s="8"/>
      <c r="F443" s="8"/>
      <c r="G443" s="8"/>
      <c r="H443" s="9">
        <v>44758</v>
      </c>
      <c r="I443" s="8"/>
      <c r="J443" s="8"/>
      <c r="K443" s="8"/>
      <c r="L443" s="9"/>
      <c r="M443" s="8"/>
      <c r="N443" s="8"/>
      <c r="O443" s="8"/>
      <c r="P443" s="9"/>
      <c r="Q443" s="8"/>
      <c r="R443" s="8"/>
      <c r="S443" s="8"/>
      <c r="T443" s="9"/>
      <c r="U443" s="8"/>
      <c r="V443" s="8"/>
      <c r="W443" s="8"/>
      <c r="X443" s="9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10"/>
    </row>
    <row r="444" spans="1:51" ht="15.75" thickBot="1" x14ac:dyDescent="0.3">
      <c r="D444" s="11">
        <v>140</v>
      </c>
      <c r="E444" s="12"/>
      <c r="F444" s="12"/>
      <c r="G444" s="12"/>
      <c r="H444" s="12">
        <v>140</v>
      </c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3"/>
    </row>
    <row r="446" spans="1:51" ht="15.75" thickBot="1" x14ac:dyDescent="0.3"/>
    <row r="447" spans="1:51" ht="15.75" thickBot="1" x14ac:dyDescent="0.3">
      <c r="B447" s="1">
        <v>56</v>
      </c>
      <c r="C447" s="14" t="s">
        <v>3</v>
      </c>
      <c r="D447" s="14"/>
      <c r="E447" s="14"/>
      <c r="F447" s="15" t="s">
        <v>4</v>
      </c>
      <c r="G447" s="15"/>
      <c r="H447" s="15"/>
      <c r="I447" s="15"/>
      <c r="J447" s="15"/>
      <c r="K447" s="15"/>
      <c r="L447" s="15" t="s">
        <v>5</v>
      </c>
      <c r="M447" s="15"/>
      <c r="AI447" s="16" t="s">
        <v>6</v>
      </c>
      <c r="AJ447" s="17"/>
      <c r="AK447" s="17"/>
      <c r="AL447" s="17"/>
      <c r="AN447" s="16" t="s">
        <v>7</v>
      </c>
      <c r="AO447" s="17"/>
      <c r="AP447" s="17"/>
      <c r="AQ447" s="17"/>
      <c r="AT447" s="18" t="s">
        <v>20</v>
      </c>
      <c r="AU447" s="19"/>
      <c r="AV447" s="19"/>
      <c r="AW447" s="19"/>
      <c r="AX447" s="19"/>
      <c r="AY447" s="20"/>
    </row>
    <row r="448" spans="1:51" ht="15.75" thickBot="1" x14ac:dyDescent="0.3">
      <c r="C448" s="21">
        <v>2072</v>
      </c>
      <c r="D448" s="22"/>
      <c r="E448" s="22"/>
      <c r="F448" s="23">
        <v>44822</v>
      </c>
      <c r="G448" s="24"/>
      <c r="H448" s="24"/>
      <c r="I448" s="24"/>
      <c r="J448" s="24"/>
      <c r="K448" s="25"/>
      <c r="L448" s="26">
        <v>3</v>
      </c>
      <c r="M448" s="26"/>
      <c r="AI448" s="27">
        <v>330</v>
      </c>
      <c r="AJ448" s="28"/>
      <c r="AK448" s="28"/>
      <c r="AL448" s="28"/>
      <c r="AN448" s="29">
        <f>AI448-D452-H452-L452-P452-T452-X452-AB452-AF452-AJ452-AN452</f>
        <v>0</v>
      </c>
      <c r="AO448" s="30"/>
      <c r="AP448" s="30"/>
      <c r="AQ448" s="30"/>
      <c r="AT448" s="31" t="s">
        <v>21</v>
      </c>
      <c r="AU448" s="32"/>
      <c r="AV448" s="32"/>
      <c r="AW448" s="32" t="s">
        <v>22</v>
      </c>
      <c r="AX448" s="32"/>
      <c r="AY448" s="33"/>
    </row>
    <row r="449" spans="1:51" ht="15.75" thickBot="1" x14ac:dyDescent="0.3">
      <c r="AT449" s="34">
        <v>18</v>
      </c>
      <c r="AU449" s="35"/>
      <c r="AV449" s="35"/>
      <c r="AW449" s="35">
        <v>20</v>
      </c>
      <c r="AX449" s="35"/>
      <c r="AY449" s="36"/>
    </row>
    <row r="450" spans="1:51" ht="15.75" thickBot="1" x14ac:dyDescent="0.3">
      <c r="D450" s="37" t="s">
        <v>8</v>
      </c>
      <c r="E450" s="8"/>
      <c r="F450" s="8"/>
      <c r="G450" s="8"/>
      <c r="H450" s="8" t="s">
        <v>9</v>
      </c>
      <c r="I450" s="8"/>
      <c r="J450" s="8"/>
      <c r="K450" s="8"/>
      <c r="L450" s="8" t="s">
        <v>10</v>
      </c>
      <c r="M450" s="8"/>
      <c r="N450" s="8"/>
      <c r="O450" s="8"/>
      <c r="P450" s="8" t="s">
        <v>11</v>
      </c>
      <c r="Q450" s="8"/>
      <c r="R450" s="8"/>
      <c r="S450" s="8"/>
      <c r="T450" s="8" t="s">
        <v>12</v>
      </c>
      <c r="U450" s="8"/>
      <c r="V450" s="8"/>
      <c r="W450" s="8"/>
      <c r="X450" s="8" t="s">
        <v>13</v>
      </c>
      <c r="Y450" s="8"/>
      <c r="Z450" s="8"/>
      <c r="AA450" s="8"/>
      <c r="AB450" s="8" t="s">
        <v>14</v>
      </c>
      <c r="AC450" s="8"/>
      <c r="AD450" s="8"/>
      <c r="AE450" s="8"/>
      <c r="AF450" s="8" t="s">
        <v>15</v>
      </c>
      <c r="AG450" s="8"/>
      <c r="AH450" s="8"/>
      <c r="AI450" s="8"/>
      <c r="AJ450" s="8" t="s">
        <v>16</v>
      </c>
      <c r="AK450" s="8"/>
      <c r="AL450" s="8"/>
      <c r="AM450" s="8"/>
      <c r="AN450" s="8" t="s">
        <v>17</v>
      </c>
      <c r="AO450" s="8"/>
      <c r="AP450" s="8"/>
      <c r="AQ450" s="10"/>
    </row>
    <row r="451" spans="1:51" ht="15.75" thickBot="1" x14ac:dyDescent="0.3">
      <c r="A451" s="4" t="s">
        <v>19</v>
      </c>
      <c r="B451" s="5"/>
      <c r="C451" s="6"/>
      <c r="D451" s="7">
        <v>44850</v>
      </c>
      <c r="E451" s="8"/>
      <c r="F451" s="8"/>
      <c r="G451" s="8"/>
      <c r="H451" s="9">
        <v>44880</v>
      </c>
      <c r="I451" s="8"/>
      <c r="J451" s="8"/>
      <c r="K451" s="8"/>
      <c r="L451" s="9"/>
      <c r="M451" s="8"/>
      <c r="N451" s="8"/>
      <c r="O451" s="8"/>
      <c r="P451" s="9"/>
      <c r="Q451" s="8"/>
      <c r="R451" s="8"/>
      <c r="S451" s="8"/>
      <c r="T451" s="9"/>
      <c r="U451" s="8"/>
      <c r="V451" s="8"/>
      <c r="W451" s="8"/>
      <c r="X451" s="9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10"/>
    </row>
    <row r="452" spans="1:51" ht="15.75" thickBot="1" x14ac:dyDescent="0.3">
      <c r="D452" s="11">
        <v>110</v>
      </c>
      <c r="E452" s="12"/>
      <c r="F452" s="12"/>
      <c r="G452" s="12"/>
      <c r="H452" s="12">
        <v>220</v>
      </c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3"/>
    </row>
    <row r="454" spans="1:51" ht="15.75" thickBot="1" x14ac:dyDescent="0.3"/>
    <row r="455" spans="1:51" ht="15.75" thickBot="1" x14ac:dyDescent="0.3">
      <c r="B455" s="1">
        <v>57</v>
      </c>
      <c r="C455" s="14" t="s">
        <v>3</v>
      </c>
      <c r="D455" s="14"/>
      <c r="E455" s="14"/>
      <c r="F455" s="15" t="s">
        <v>4</v>
      </c>
      <c r="G455" s="15"/>
      <c r="H455" s="15"/>
      <c r="I455" s="15"/>
      <c r="J455" s="15"/>
      <c r="K455" s="15"/>
      <c r="L455" s="15" t="s">
        <v>5</v>
      </c>
      <c r="M455" s="15"/>
      <c r="AI455" s="16" t="s">
        <v>6</v>
      </c>
      <c r="AJ455" s="17"/>
      <c r="AK455" s="17"/>
      <c r="AL455" s="17"/>
      <c r="AN455" s="16" t="s">
        <v>7</v>
      </c>
      <c r="AO455" s="17"/>
      <c r="AP455" s="17"/>
      <c r="AQ455" s="17"/>
      <c r="AT455" s="18" t="s">
        <v>20</v>
      </c>
      <c r="AU455" s="19"/>
      <c r="AV455" s="19"/>
      <c r="AW455" s="19"/>
      <c r="AX455" s="19"/>
      <c r="AY455" s="20"/>
    </row>
    <row r="456" spans="1:51" ht="15.75" thickBot="1" x14ac:dyDescent="0.3">
      <c r="C456" s="21">
        <v>2505</v>
      </c>
      <c r="D456" s="22"/>
      <c r="E456" s="22"/>
      <c r="F456" s="23">
        <v>44918</v>
      </c>
      <c r="G456" s="24"/>
      <c r="H456" s="24"/>
      <c r="I456" s="24"/>
      <c r="J456" s="24"/>
      <c r="K456" s="25"/>
      <c r="L456" s="26">
        <v>4</v>
      </c>
      <c r="M456" s="26"/>
      <c r="AI456" s="27">
        <v>430</v>
      </c>
      <c r="AJ456" s="28"/>
      <c r="AK456" s="28"/>
      <c r="AL456" s="28"/>
      <c r="AN456" s="29">
        <f>AI456-D460-H460-L460-P460-T460-X460-AB460-AF460-AJ460-AN460</f>
        <v>0</v>
      </c>
      <c r="AO456" s="30"/>
      <c r="AP456" s="30"/>
      <c r="AQ456" s="30"/>
      <c r="AT456" s="31" t="s">
        <v>21</v>
      </c>
      <c r="AU456" s="32"/>
      <c r="AV456" s="32"/>
      <c r="AW456" s="32" t="s">
        <v>22</v>
      </c>
      <c r="AX456" s="32"/>
      <c r="AY456" s="33"/>
    </row>
    <row r="457" spans="1:51" ht="15.75" thickBot="1" x14ac:dyDescent="0.3">
      <c r="AT457" s="34">
        <v>1</v>
      </c>
      <c r="AU457" s="35"/>
      <c r="AV457" s="35"/>
      <c r="AW457" s="35">
        <v>4</v>
      </c>
      <c r="AX457" s="35"/>
      <c r="AY457" s="36"/>
    </row>
    <row r="458" spans="1:51" ht="15.75" thickBot="1" x14ac:dyDescent="0.3">
      <c r="D458" s="37" t="s">
        <v>8</v>
      </c>
      <c r="E458" s="8"/>
      <c r="F458" s="8"/>
      <c r="G458" s="8"/>
      <c r="H458" s="8" t="s">
        <v>9</v>
      </c>
      <c r="I458" s="8"/>
      <c r="J458" s="8"/>
      <c r="K458" s="8"/>
      <c r="L458" s="8" t="s">
        <v>10</v>
      </c>
      <c r="M458" s="8"/>
      <c r="N458" s="8"/>
      <c r="O458" s="8"/>
      <c r="P458" s="8" t="s">
        <v>11</v>
      </c>
      <c r="Q458" s="8"/>
      <c r="R458" s="8"/>
      <c r="S458" s="8"/>
      <c r="T458" s="8" t="s">
        <v>12</v>
      </c>
      <c r="U458" s="8"/>
      <c r="V458" s="8"/>
      <c r="W458" s="8"/>
      <c r="X458" s="8" t="s">
        <v>13</v>
      </c>
      <c r="Y458" s="8"/>
      <c r="Z458" s="8"/>
      <c r="AA458" s="8"/>
      <c r="AB458" s="8" t="s">
        <v>14</v>
      </c>
      <c r="AC458" s="8"/>
      <c r="AD458" s="8"/>
      <c r="AE458" s="8"/>
      <c r="AF458" s="8" t="s">
        <v>15</v>
      </c>
      <c r="AG458" s="8"/>
      <c r="AH458" s="8"/>
      <c r="AI458" s="8"/>
      <c r="AJ458" s="8" t="s">
        <v>16</v>
      </c>
      <c r="AK458" s="8"/>
      <c r="AL458" s="8"/>
      <c r="AM458" s="8"/>
      <c r="AN458" s="8" t="s">
        <v>17</v>
      </c>
      <c r="AO458" s="8"/>
      <c r="AP458" s="8"/>
      <c r="AQ458" s="10"/>
    </row>
    <row r="459" spans="1:51" ht="15.75" thickBot="1" x14ac:dyDescent="0.3">
      <c r="A459" s="4" t="s">
        <v>19</v>
      </c>
      <c r="B459" s="5"/>
      <c r="C459" s="6"/>
      <c r="D459" s="7">
        <v>44940</v>
      </c>
      <c r="E459" s="8"/>
      <c r="F459" s="8"/>
      <c r="G459" s="8"/>
      <c r="H459" s="9">
        <v>44954</v>
      </c>
      <c r="I459" s="8"/>
      <c r="J459" s="8"/>
      <c r="K459" s="8"/>
      <c r="L459" s="9">
        <v>44972</v>
      </c>
      <c r="M459" s="8"/>
      <c r="N459" s="8"/>
      <c r="O459" s="8"/>
      <c r="P459" s="9">
        <v>44986</v>
      </c>
      <c r="Q459" s="8"/>
      <c r="R459" s="8"/>
      <c r="S459" s="8"/>
      <c r="T459" s="9"/>
      <c r="U459" s="8"/>
      <c r="V459" s="8"/>
      <c r="W459" s="8"/>
      <c r="X459" s="9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10"/>
    </row>
    <row r="460" spans="1:51" ht="15.75" thickBot="1" x14ac:dyDescent="0.3">
      <c r="D460" s="11">
        <v>108</v>
      </c>
      <c r="E460" s="12"/>
      <c r="F460" s="12"/>
      <c r="G460" s="12"/>
      <c r="H460" s="12">
        <v>108</v>
      </c>
      <c r="I460" s="12"/>
      <c r="J460" s="12"/>
      <c r="K460" s="12"/>
      <c r="L460" s="12">
        <v>108</v>
      </c>
      <c r="M460" s="12"/>
      <c r="N460" s="12"/>
      <c r="O460" s="12"/>
      <c r="P460" s="12">
        <v>106</v>
      </c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3"/>
    </row>
    <row r="462" spans="1:51" ht="15.75" thickBot="1" x14ac:dyDescent="0.3"/>
    <row r="463" spans="1:51" ht="15.75" thickBot="1" x14ac:dyDescent="0.3">
      <c r="B463" s="1">
        <v>58</v>
      </c>
      <c r="C463" s="14" t="s">
        <v>3</v>
      </c>
      <c r="D463" s="14"/>
      <c r="E463" s="14"/>
      <c r="F463" s="15" t="s">
        <v>4</v>
      </c>
      <c r="G463" s="15"/>
      <c r="H463" s="15"/>
      <c r="I463" s="15"/>
      <c r="J463" s="15"/>
      <c r="K463" s="15"/>
      <c r="L463" s="15" t="s">
        <v>5</v>
      </c>
      <c r="M463" s="15"/>
      <c r="AI463" s="16" t="s">
        <v>6</v>
      </c>
      <c r="AJ463" s="17"/>
      <c r="AK463" s="17"/>
      <c r="AL463" s="17"/>
      <c r="AN463" s="16" t="s">
        <v>7</v>
      </c>
      <c r="AO463" s="17"/>
      <c r="AP463" s="17"/>
      <c r="AQ463" s="17"/>
      <c r="AT463" s="18" t="s">
        <v>20</v>
      </c>
      <c r="AU463" s="19"/>
      <c r="AV463" s="19"/>
      <c r="AW463" s="19"/>
      <c r="AX463" s="19"/>
      <c r="AY463" s="20"/>
    </row>
    <row r="464" spans="1:51" ht="15.75" thickBot="1" x14ac:dyDescent="0.3">
      <c r="C464" s="21">
        <v>2637</v>
      </c>
      <c r="D464" s="22"/>
      <c r="E464" s="22"/>
      <c r="F464" s="23">
        <v>44950</v>
      </c>
      <c r="G464" s="24"/>
      <c r="H464" s="24"/>
      <c r="I464" s="24"/>
      <c r="J464" s="24"/>
      <c r="K464" s="25"/>
      <c r="L464" s="26">
        <v>3</v>
      </c>
      <c r="M464" s="26"/>
      <c r="AI464" s="27">
        <v>340</v>
      </c>
      <c r="AJ464" s="28"/>
      <c r="AK464" s="28"/>
      <c r="AL464" s="28"/>
      <c r="AN464" s="29">
        <f>AI464-D468-H468-L468-P468-T468-X468-AB468-AF468-AJ468-AN468</f>
        <v>1</v>
      </c>
      <c r="AO464" s="30"/>
      <c r="AP464" s="30"/>
      <c r="AQ464" s="30"/>
      <c r="AT464" s="31" t="s">
        <v>21</v>
      </c>
      <c r="AU464" s="32"/>
      <c r="AV464" s="32"/>
      <c r="AW464" s="32" t="s">
        <v>22</v>
      </c>
      <c r="AX464" s="32"/>
      <c r="AY464" s="33"/>
    </row>
    <row r="465" spans="1:51" ht="15.75" thickBot="1" x14ac:dyDescent="0.3">
      <c r="AT465" s="34">
        <v>3</v>
      </c>
      <c r="AU465" s="35"/>
      <c r="AV465" s="35"/>
      <c r="AW465" s="35">
        <v>5</v>
      </c>
      <c r="AX465" s="35"/>
      <c r="AY465" s="36"/>
    </row>
    <row r="466" spans="1:51" ht="15.75" thickBot="1" x14ac:dyDescent="0.3">
      <c r="D466" s="37" t="s">
        <v>8</v>
      </c>
      <c r="E466" s="8"/>
      <c r="F466" s="8"/>
      <c r="G466" s="8"/>
      <c r="H466" s="8" t="s">
        <v>9</v>
      </c>
      <c r="I466" s="8"/>
      <c r="J466" s="8"/>
      <c r="K466" s="8"/>
      <c r="L466" s="8" t="s">
        <v>10</v>
      </c>
      <c r="M466" s="8"/>
      <c r="N466" s="8"/>
      <c r="O466" s="8"/>
      <c r="P466" s="8" t="s">
        <v>11</v>
      </c>
      <c r="Q466" s="8"/>
      <c r="R466" s="8"/>
      <c r="S466" s="8"/>
      <c r="T466" s="8" t="s">
        <v>12</v>
      </c>
      <c r="U466" s="8"/>
      <c r="V466" s="8"/>
      <c r="W466" s="8"/>
      <c r="X466" s="8" t="s">
        <v>13</v>
      </c>
      <c r="Y466" s="8"/>
      <c r="Z466" s="8"/>
      <c r="AA466" s="8"/>
      <c r="AB466" s="8" t="s">
        <v>14</v>
      </c>
      <c r="AC466" s="8"/>
      <c r="AD466" s="8"/>
      <c r="AE466" s="8"/>
      <c r="AF466" s="8" t="s">
        <v>15</v>
      </c>
      <c r="AG466" s="8"/>
      <c r="AH466" s="8"/>
      <c r="AI466" s="8"/>
      <c r="AJ466" s="8" t="s">
        <v>16</v>
      </c>
      <c r="AK466" s="8"/>
      <c r="AL466" s="8"/>
      <c r="AM466" s="8"/>
      <c r="AN466" s="8" t="s">
        <v>17</v>
      </c>
      <c r="AO466" s="8"/>
      <c r="AP466" s="8"/>
      <c r="AQ466" s="10"/>
    </row>
    <row r="467" spans="1:51" ht="15.75" thickBot="1" x14ac:dyDescent="0.3">
      <c r="A467" s="4" t="s">
        <v>19</v>
      </c>
      <c r="B467" s="5"/>
      <c r="C467" s="6"/>
      <c r="D467" s="7">
        <v>44972</v>
      </c>
      <c r="E467" s="8"/>
      <c r="F467" s="8"/>
      <c r="G467" s="8"/>
      <c r="H467" s="9">
        <v>44986</v>
      </c>
      <c r="I467" s="8"/>
      <c r="J467" s="8"/>
      <c r="K467" s="8"/>
      <c r="L467" s="9">
        <v>45000</v>
      </c>
      <c r="M467" s="8"/>
      <c r="N467" s="8"/>
      <c r="O467" s="8"/>
      <c r="P467" s="9"/>
      <c r="Q467" s="8"/>
      <c r="R467" s="8"/>
      <c r="S467" s="8"/>
      <c r="T467" s="9"/>
      <c r="U467" s="8"/>
      <c r="V467" s="8"/>
      <c r="W467" s="8"/>
      <c r="X467" s="9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10"/>
    </row>
    <row r="468" spans="1:51" ht="15.75" thickBot="1" x14ac:dyDescent="0.3">
      <c r="D468" s="11">
        <v>113</v>
      </c>
      <c r="E468" s="12"/>
      <c r="F468" s="12"/>
      <c r="G468" s="12"/>
      <c r="H468" s="12">
        <v>113</v>
      </c>
      <c r="I468" s="12"/>
      <c r="J468" s="12"/>
      <c r="K468" s="12"/>
      <c r="L468" s="12">
        <v>113</v>
      </c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3"/>
    </row>
    <row r="470" spans="1:51" ht="15.75" thickBot="1" x14ac:dyDescent="0.3"/>
    <row r="471" spans="1:51" ht="15.75" thickBot="1" x14ac:dyDescent="0.3">
      <c r="B471" s="1">
        <v>59</v>
      </c>
      <c r="C471" s="14" t="s">
        <v>3</v>
      </c>
      <c r="D471" s="14"/>
      <c r="E471" s="14"/>
      <c r="F471" s="15" t="s">
        <v>4</v>
      </c>
      <c r="G471" s="15"/>
      <c r="H471" s="15"/>
      <c r="I471" s="15"/>
      <c r="J471" s="15"/>
      <c r="K471" s="15"/>
      <c r="L471" s="15" t="s">
        <v>5</v>
      </c>
      <c r="M471" s="15"/>
      <c r="AI471" s="16" t="s">
        <v>6</v>
      </c>
      <c r="AJ471" s="17"/>
      <c r="AK471" s="17"/>
      <c r="AL471" s="17"/>
      <c r="AN471" s="16" t="s">
        <v>7</v>
      </c>
      <c r="AO471" s="17"/>
      <c r="AP471" s="17"/>
      <c r="AQ471" s="17"/>
      <c r="AT471" s="18" t="s">
        <v>20</v>
      </c>
      <c r="AU471" s="19"/>
      <c r="AV471" s="19"/>
      <c r="AW471" s="19"/>
      <c r="AX471" s="19"/>
      <c r="AY471" s="20"/>
    </row>
    <row r="472" spans="1:51" ht="15.75" thickBot="1" x14ac:dyDescent="0.3">
      <c r="C472" s="38">
        <v>2878</v>
      </c>
      <c r="D472" s="39"/>
      <c r="E472" s="39"/>
      <c r="F472" s="23">
        <v>45001</v>
      </c>
      <c r="G472" s="24"/>
      <c r="H472" s="24"/>
      <c r="I472" s="24"/>
      <c r="J472" s="24"/>
      <c r="K472" s="25"/>
      <c r="L472" s="26">
        <v>4</v>
      </c>
      <c r="M472" s="26"/>
      <c r="AI472" s="27">
        <v>550</v>
      </c>
      <c r="AJ472" s="28"/>
      <c r="AK472" s="28"/>
      <c r="AL472" s="28"/>
      <c r="AN472" s="29">
        <f>AI472-D476-H476-L476-P476-T476-X476-AB476-AF476-AJ476-AN476</f>
        <v>0</v>
      </c>
      <c r="AO472" s="30"/>
      <c r="AP472" s="30"/>
      <c r="AQ472" s="30"/>
      <c r="AT472" s="31" t="s">
        <v>21</v>
      </c>
      <c r="AU472" s="32"/>
      <c r="AV472" s="32"/>
      <c r="AW472" s="32" t="s">
        <v>22</v>
      </c>
      <c r="AX472" s="32"/>
      <c r="AY472" s="33"/>
    </row>
    <row r="473" spans="1:51" ht="15.75" thickBot="1" x14ac:dyDescent="0.3">
      <c r="AT473" s="34">
        <v>6</v>
      </c>
      <c r="AU473" s="35"/>
      <c r="AV473" s="35"/>
      <c r="AW473" s="35">
        <v>9</v>
      </c>
      <c r="AX473" s="35"/>
      <c r="AY473" s="36"/>
    </row>
    <row r="474" spans="1:51" ht="15.75" thickBot="1" x14ac:dyDescent="0.3">
      <c r="D474" s="37" t="s">
        <v>8</v>
      </c>
      <c r="E474" s="8"/>
      <c r="F474" s="8"/>
      <c r="G474" s="8"/>
      <c r="H474" s="8" t="s">
        <v>9</v>
      </c>
      <c r="I474" s="8"/>
      <c r="J474" s="8"/>
      <c r="K474" s="8"/>
      <c r="L474" s="8" t="s">
        <v>10</v>
      </c>
      <c r="M474" s="8"/>
      <c r="N474" s="8"/>
      <c r="O474" s="8"/>
      <c r="P474" s="8" t="s">
        <v>11</v>
      </c>
      <c r="Q474" s="8"/>
      <c r="R474" s="8"/>
      <c r="S474" s="8"/>
      <c r="T474" s="8" t="s">
        <v>12</v>
      </c>
      <c r="U474" s="8"/>
      <c r="V474" s="8"/>
      <c r="W474" s="8"/>
      <c r="X474" s="8" t="s">
        <v>13</v>
      </c>
      <c r="Y474" s="8"/>
      <c r="Z474" s="8"/>
      <c r="AA474" s="8"/>
      <c r="AB474" s="8" t="s">
        <v>14</v>
      </c>
      <c r="AC474" s="8"/>
      <c r="AD474" s="8"/>
      <c r="AE474" s="8"/>
      <c r="AF474" s="8" t="s">
        <v>15</v>
      </c>
      <c r="AG474" s="8"/>
      <c r="AH474" s="8"/>
      <c r="AI474" s="8"/>
      <c r="AJ474" s="8" t="s">
        <v>16</v>
      </c>
      <c r="AK474" s="8"/>
      <c r="AL474" s="8"/>
      <c r="AM474" s="8"/>
      <c r="AN474" s="8" t="s">
        <v>17</v>
      </c>
      <c r="AO474" s="8"/>
      <c r="AP474" s="8"/>
      <c r="AQ474" s="10"/>
    </row>
    <row r="475" spans="1:51" ht="15.75" thickBot="1" x14ac:dyDescent="0.3">
      <c r="A475" s="4" t="s">
        <v>19</v>
      </c>
      <c r="B475" s="5"/>
      <c r="C475" s="6"/>
      <c r="D475" s="7">
        <v>45019</v>
      </c>
      <c r="E475" s="8"/>
      <c r="F475" s="8"/>
      <c r="G475" s="8"/>
      <c r="H475" s="9">
        <v>45031</v>
      </c>
      <c r="I475" s="8"/>
      <c r="J475" s="8"/>
      <c r="K475" s="8"/>
      <c r="L475" s="9">
        <v>45045</v>
      </c>
      <c r="M475" s="8"/>
      <c r="N475" s="8"/>
      <c r="O475" s="8"/>
      <c r="P475" s="9">
        <v>45059</v>
      </c>
      <c r="Q475" s="8"/>
      <c r="R475" s="8"/>
      <c r="S475" s="8"/>
      <c r="T475" s="9"/>
      <c r="U475" s="8"/>
      <c r="V475" s="8"/>
      <c r="W475" s="8"/>
      <c r="X475" s="9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10"/>
    </row>
    <row r="476" spans="1:51" ht="15.75" thickBot="1" x14ac:dyDescent="0.3">
      <c r="D476" s="11">
        <v>138</v>
      </c>
      <c r="E476" s="12"/>
      <c r="F476" s="12"/>
      <c r="G476" s="12"/>
      <c r="H476" s="12">
        <v>138</v>
      </c>
      <c r="I476" s="12"/>
      <c r="J476" s="12"/>
      <c r="K476" s="12"/>
      <c r="L476" s="12">
        <v>138</v>
      </c>
      <c r="M476" s="12"/>
      <c r="N476" s="12"/>
      <c r="O476" s="12"/>
      <c r="P476" s="12">
        <v>136</v>
      </c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3"/>
    </row>
    <row r="478" spans="1:51" ht="15.75" thickBot="1" x14ac:dyDescent="0.3"/>
    <row r="479" spans="1:51" ht="15.75" thickBot="1" x14ac:dyDescent="0.3">
      <c r="B479" s="1">
        <v>60</v>
      </c>
      <c r="C479" s="14" t="s">
        <v>3</v>
      </c>
      <c r="D479" s="14"/>
      <c r="E479" s="14"/>
      <c r="F479" s="15" t="s">
        <v>4</v>
      </c>
      <c r="G479" s="15"/>
      <c r="H479" s="15"/>
      <c r="I479" s="15"/>
      <c r="J479" s="15"/>
      <c r="K479" s="15"/>
      <c r="L479" s="15" t="s">
        <v>5</v>
      </c>
      <c r="M479" s="15"/>
      <c r="AI479" s="16" t="s">
        <v>6</v>
      </c>
      <c r="AJ479" s="17"/>
      <c r="AK479" s="17"/>
      <c r="AL479" s="17"/>
      <c r="AN479" s="16" t="s">
        <v>7</v>
      </c>
      <c r="AO479" s="17"/>
      <c r="AP479" s="17"/>
      <c r="AQ479" s="17"/>
      <c r="AT479" s="18" t="s">
        <v>20</v>
      </c>
      <c r="AU479" s="19"/>
      <c r="AV479" s="19"/>
      <c r="AW479" s="19"/>
      <c r="AX479" s="19"/>
      <c r="AY479" s="20"/>
    </row>
    <row r="480" spans="1:51" ht="15.75" thickBot="1" x14ac:dyDescent="0.3">
      <c r="C480" s="21">
        <v>3850</v>
      </c>
      <c r="D480" s="22"/>
      <c r="E480" s="22"/>
      <c r="F480" s="23">
        <v>45247</v>
      </c>
      <c r="G480" s="24"/>
      <c r="H480" s="24"/>
      <c r="I480" s="24"/>
      <c r="J480" s="24"/>
      <c r="K480" s="25"/>
      <c r="L480" s="26">
        <v>4</v>
      </c>
      <c r="M480" s="26"/>
      <c r="AI480" s="27">
        <v>650</v>
      </c>
      <c r="AJ480" s="28"/>
      <c r="AK480" s="28"/>
      <c r="AL480" s="28"/>
      <c r="AN480" s="29">
        <f>AI480-D484-H484-L484-P484-T484-X484-AB484-AF484-AJ484-AN484</f>
        <v>0</v>
      </c>
      <c r="AO480" s="30"/>
      <c r="AP480" s="30"/>
      <c r="AQ480" s="30"/>
      <c r="AT480" s="31" t="s">
        <v>21</v>
      </c>
      <c r="AU480" s="32"/>
      <c r="AV480" s="32"/>
      <c r="AW480" s="32" t="s">
        <v>22</v>
      </c>
      <c r="AX480" s="32"/>
      <c r="AY480" s="33"/>
    </row>
    <row r="481" spans="1:51" ht="15.75" thickBot="1" x14ac:dyDescent="0.3">
      <c r="AT481" s="34">
        <v>22</v>
      </c>
      <c r="AU481" s="35"/>
      <c r="AV481" s="35"/>
      <c r="AW481" s="35">
        <v>1</v>
      </c>
      <c r="AX481" s="35"/>
      <c r="AY481" s="36"/>
    </row>
    <row r="482" spans="1:51" ht="15.75" thickBot="1" x14ac:dyDescent="0.3">
      <c r="D482" s="37" t="s">
        <v>8</v>
      </c>
      <c r="E482" s="8"/>
      <c r="F482" s="8"/>
      <c r="G482" s="8"/>
      <c r="H482" s="8" t="s">
        <v>9</v>
      </c>
      <c r="I482" s="8"/>
      <c r="J482" s="8"/>
      <c r="K482" s="8"/>
      <c r="L482" s="8" t="s">
        <v>10</v>
      </c>
      <c r="M482" s="8"/>
      <c r="N482" s="8"/>
      <c r="O482" s="8"/>
      <c r="P482" s="8" t="s">
        <v>11</v>
      </c>
      <c r="Q482" s="8"/>
      <c r="R482" s="8"/>
      <c r="S482" s="8"/>
      <c r="T482" s="8" t="s">
        <v>12</v>
      </c>
      <c r="U482" s="8"/>
      <c r="V482" s="8"/>
      <c r="W482" s="8"/>
      <c r="X482" s="8" t="s">
        <v>13</v>
      </c>
      <c r="Y482" s="8"/>
      <c r="Z482" s="8"/>
      <c r="AA482" s="8"/>
      <c r="AB482" s="8" t="s">
        <v>14</v>
      </c>
      <c r="AC482" s="8"/>
      <c r="AD482" s="8"/>
      <c r="AE482" s="8"/>
      <c r="AF482" s="8" t="s">
        <v>15</v>
      </c>
      <c r="AG482" s="8"/>
      <c r="AH482" s="8"/>
      <c r="AI482" s="8"/>
      <c r="AJ482" s="8" t="s">
        <v>16</v>
      </c>
      <c r="AK482" s="8"/>
      <c r="AL482" s="8"/>
      <c r="AM482" s="8"/>
      <c r="AN482" s="8" t="s">
        <v>17</v>
      </c>
      <c r="AO482" s="8"/>
      <c r="AP482" s="8"/>
      <c r="AQ482" s="10"/>
    </row>
    <row r="483" spans="1:51" ht="15.75" thickBot="1" x14ac:dyDescent="0.3">
      <c r="A483" s="4" t="s">
        <v>19</v>
      </c>
      <c r="B483" s="5"/>
      <c r="C483" s="6"/>
      <c r="D483" s="7">
        <v>45261</v>
      </c>
      <c r="E483" s="8"/>
      <c r="F483" s="8"/>
      <c r="G483" s="8"/>
      <c r="H483" s="9">
        <v>45306</v>
      </c>
      <c r="I483" s="8"/>
      <c r="J483" s="8"/>
      <c r="K483" s="8"/>
      <c r="L483" s="9">
        <v>45334</v>
      </c>
      <c r="M483" s="8"/>
      <c r="N483" s="8"/>
      <c r="O483" s="8"/>
      <c r="P483" s="9">
        <v>45356</v>
      </c>
      <c r="Q483" s="8"/>
      <c r="R483" s="8"/>
      <c r="S483" s="8"/>
      <c r="T483" s="9"/>
      <c r="U483" s="8"/>
      <c r="V483" s="8"/>
      <c r="W483" s="8"/>
      <c r="X483" s="9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10"/>
    </row>
    <row r="484" spans="1:51" ht="15.75" thickBot="1" x14ac:dyDescent="0.3">
      <c r="D484" s="11">
        <v>163</v>
      </c>
      <c r="E484" s="12"/>
      <c r="F484" s="12"/>
      <c r="G484" s="12"/>
      <c r="H484" s="12">
        <v>163</v>
      </c>
      <c r="I484" s="12"/>
      <c r="J484" s="12"/>
      <c r="K484" s="12"/>
      <c r="L484" s="12">
        <v>163</v>
      </c>
      <c r="M484" s="12"/>
      <c r="N484" s="12"/>
      <c r="O484" s="12"/>
      <c r="P484" s="12">
        <v>161</v>
      </c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3"/>
    </row>
    <row r="486" spans="1:51" ht="15.75" thickBot="1" x14ac:dyDescent="0.3"/>
    <row r="487" spans="1:51" ht="15.75" thickBot="1" x14ac:dyDescent="0.3">
      <c r="B487" s="1">
        <v>61</v>
      </c>
      <c r="C487" s="14" t="s">
        <v>3</v>
      </c>
      <c r="D487" s="14"/>
      <c r="E487" s="14"/>
      <c r="F487" s="15" t="s">
        <v>4</v>
      </c>
      <c r="G487" s="15"/>
      <c r="H487" s="15"/>
      <c r="I487" s="15"/>
      <c r="J487" s="15"/>
      <c r="K487" s="15"/>
      <c r="L487" s="15" t="s">
        <v>5</v>
      </c>
      <c r="M487" s="15"/>
      <c r="AI487" s="16" t="s">
        <v>6</v>
      </c>
      <c r="AJ487" s="17"/>
      <c r="AK487" s="17"/>
      <c r="AL487" s="17"/>
      <c r="AN487" s="16" t="s">
        <v>7</v>
      </c>
      <c r="AO487" s="17"/>
      <c r="AP487" s="17"/>
      <c r="AQ487" s="17"/>
      <c r="AT487" s="18" t="s">
        <v>20</v>
      </c>
      <c r="AU487" s="19"/>
      <c r="AV487" s="19"/>
      <c r="AW487" s="19"/>
      <c r="AX487" s="19"/>
      <c r="AY487" s="20"/>
    </row>
    <row r="488" spans="1:51" ht="15.75" thickBot="1" x14ac:dyDescent="0.3">
      <c r="C488" s="38">
        <v>4454</v>
      </c>
      <c r="D488" s="39"/>
      <c r="E488" s="39"/>
      <c r="F488" s="23">
        <v>45433</v>
      </c>
      <c r="G488" s="24"/>
      <c r="H488" s="24"/>
      <c r="I488" s="24"/>
      <c r="J488" s="24"/>
      <c r="K488" s="25"/>
      <c r="L488" s="26">
        <v>4</v>
      </c>
      <c r="M488" s="26"/>
      <c r="AI488" s="27">
        <v>885</v>
      </c>
      <c r="AJ488" s="28"/>
      <c r="AK488" s="28"/>
      <c r="AL488" s="28"/>
      <c r="AN488" s="29">
        <f>AI488-D492-H492-L492-P492-T492-X492-AB492-AF492-AJ492-AN492</f>
        <v>0</v>
      </c>
      <c r="AO488" s="30"/>
      <c r="AP488" s="30"/>
      <c r="AQ488" s="30"/>
      <c r="AT488" s="31" t="s">
        <v>21</v>
      </c>
      <c r="AU488" s="32"/>
      <c r="AV488" s="32"/>
      <c r="AW488" s="32" t="s">
        <v>22</v>
      </c>
      <c r="AX488" s="32"/>
      <c r="AY488" s="33"/>
    </row>
    <row r="489" spans="1:51" ht="15.75" thickBot="1" x14ac:dyDescent="0.3">
      <c r="AT489" s="34">
        <v>10</v>
      </c>
      <c r="AU489" s="35"/>
      <c r="AV489" s="35"/>
      <c r="AW489" s="35">
        <v>13</v>
      </c>
      <c r="AX489" s="35"/>
      <c r="AY489" s="36"/>
    </row>
    <row r="490" spans="1:51" ht="15.75" thickBot="1" x14ac:dyDescent="0.3">
      <c r="D490" s="37" t="s">
        <v>8</v>
      </c>
      <c r="E490" s="8"/>
      <c r="F490" s="8"/>
      <c r="G490" s="8"/>
      <c r="H490" s="8" t="s">
        <v>9</v>
      </c>
      <c r="I490" s="8"/>
      <c r="J490" s="8"/>
      <c r="K490" s="8"/>
      <c r="L490" s="8" t="s">
        <v>10</v>
      </c>
      <c r="M490" s="8"/>
      <c r="N490" s="8"/>
      <c r="O490" s="8"/>
      <c r="P490" s="8" t="s">
        <v>11</v>
      </c>
      <c r="Q490" s="8"/>
      <c r="R490" s="8"/>
      <c r="S490" s="8"/>
      <c r="T490" s="8" t="s">
        <v>12</v>
      </c>
      <c r="U490" s="8"/>
      <c r="V490" s="8"/>
      <c r="W490" s="8"/>
      <c r="X490" s="8" t="s">
        <v>13</v>
      </c>
      <c r="Y490" s="8"/>
      <c r="Z490" s="8"/>
      <c r="AA490" s="8"/>
      <c r="AB490" s="8" t="s">
        <v>14</v>
      </c>
      <c r="AC490" s="8"/>
      <c r="AD490" s="8"/>
      <c r="AE490" s="8"/>
      <c r="AF490" s="8" t="s">
        <v>15</v>
      </c>
      <c r="AG490" s="8"/>
      <c r="AH490" s="8"/>
      <c r="AI490" s="8"/>
      <c r="AJ490" s="8" t="s">
        <v>16</v>
      </c>
      <c r="AK490" s="8"/>
      <c r="AL490" s="8"/>
      <c r="AM490" s="8"/>
      <c r="AN490" s="8" t="s">
        <v>17</v>
      </c>
      <c r="AO490" s="8"/>
      <c r="AP490" s="8"/>
      <c r="AQ490" s="10"/>
    </row>
    <row r="491" spans="1:51" ht="15.75" thickBot="1" x14ac:dyDescent="0.3">
      <c r="A491" s="4" t="s">
        <v>19</v>
      </c>
      <c r="B491" s="5"/>
      <c r="C491" s="6"/>
      <c r="D491" s="7">
        <v>45460</v>
      </c>
      <c r="E491" s="8"/>
      <c r="F491" s="8"/>
      <c r="G491" s="8"/>
      <c r="H491" s="9">
        <v>45488</v>
      </c>
      <c r="I491" s="8"/>
      <c r="J491" s="8"/>
      <c r="K491" s="8"/>
      <c r="L491" s="9">
        <v>45506</v>
      </c>
      <c r="M491" s="8"/>
      <c r="N491" s="8"/>
      <c r="O491" s="8"/>
      <c r="P491" s="9">
        <v>45519</v>
      </c>
      <c r="Q491" s="8"/>
      <c r="R491" s="8"/>
      <c r="S491" s="8"/>
      <c r="T491" s="9"/>
      <c r="U491" s="8"/>
      <c r="V491" s="8"/>
      <c r="W491" s="8"/>
      <c r="X491" s="9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10"/>
    </row>
    <row r="492" spans="1:51" ht="15.75" thickBot="1" x14ac:dyDescent="0.3">
      <c r="D492" s="11">
        <v>221</v>
      </c>
      <c r="E492" s="12"/>
      <c r="F492" s="12"/>
      <c r="G492" s="12"/>
      <c r="H492" s="12">
        <v>221</v>
      </c>
      <c r="I492" s="12"/>
      <c r="J492" s="12"/>
      <c r="K492" s="12"/>
      <c r="L492" s="12">
        <v>221</v>
      </c>
      <c r="M492" s="12"/>
      <c r="N492" s="12"/>
      <c r="O492" s="12"/>
      <c r="P492" s="12">
        <v>222</v>
      </c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3"/>
    </row>
    <row r="494" spans="1:51" ht="15.75" thickBot="1" x14ac:dyDescent="0.3"/>
    <row r="495" spans="1:51" ht="15.75" thickBot="1" x14ac:dyDescent="0.3">
      <c r="B495" s="1">
        <v>62</v>
      </c>
      <c r="C495" s="14" t="s">
        <v>3</v>
      </c>
      <c r="D495" s="14"/>
      <c r="E495" s="14"/>
      <c r="F495" s="15" t="s">
        <v>4</v>
      </c>
      <c r="G495" s="15"/>
      <c r="H495" s="15"/>
      <c r="I495" s="15"/>
      <c r="J495" s="15"/>
      <c r="K495" s="15"/>
      <c r="L495" s="15" t="s">
        <v>5</v>
      </c>
      <c r="M495" s="15"/>
      <c r="AI495" s="16" t="s">
        <v>6</v>
      </c>
      <c r="AJ495" s="17"/>
      <c r="AK495" s="17"/>
      <c r="AL495" s="17"/>
      <c r="AN495" s="16" t="s">
        <v>7</v>
      </c>
      <c r="AO495" s="17"/>
      <c r="AP495" s="17"/>
      <c r="AQ495" s="17"/>
      <c r="AT495" s="18" t="s">
        <v>20</v>
      </c>
      <c r="AU495" s="19"/>
      <c r="AV495" s="19"/>
      <c r="AW495" s="19"/>
      <c r="AX495" s="19"/>
      <c r="AY495" s="20"/>
    </row>
    <row r="496" spans="1:51" ht="15.75" thickBot="1" x14ac:dyDescent="0.3">
      <c r="C496" s="38">
        <v>4757</v>
      </c>
      <c r="D496" s="39"/>
      <c r="E496" s="39"/>
      <c r="F496" s="23">
        <v>45539</v>
      </c>
      <c r="G496" s="24"/>
      <c r="H496" s="24"/>
      <c r="I496" s="24"/>
      <c r="J496" s="24"/>
      <c r="K496" s="25"/>
      <c r="L496" s="26">
        <v>3</v>
      </c>
      <c r="M496" s="26"/>
      <c r="AI496" s="27">
        <v>370</v>
      </c>
      <c r="AJ496" s="28"/>
      <c r="AK496" s="28"/>
      <c r="AL496" s="28"/>
      <c r="AN496" s="29">
        <f>AI496-D500-H500-L500-P500-T500-X500-AB500-AF500-AJ500-AN500</f>
        <v>0</v>
      </c>
      <c r="AO496" s="30"/>
      <c r="AP496" s="30"/>
      <c r="AQ496" s="30"/>
      <c r="AT496" s="31" t="s">
        <v>21</v>
      </c>
      <c r="AU496" s="32"/>
      <c r="AV496" s="32"/>
      <c r="AW496" s="32" t="s">
        <v>22</v>
      </c>
      <c r="AX496" s="32"/>
      <c r="AY496" s="33"/>
    </row>
    <row r="497" spans="1:51" ht="15.75" thickBot="1" x14ac:dyDescent="0.3">
      <c r="AT497" s="34">
        <v>18</v>
      </c>
      <c r="AU497" s="35"/>
      <c r="AV497" s="35"/>
      <c r="AW497" s="35">
        <v>20</v>
      </c>
      <c r="AX497" s="35"/>
      <c r="AY497" s="36"/>
    </row>
    <row r="498" spans="1:51" ht="15.75" thickBot="1" x14ac:dyDescent="0.3">
      <c r="D498" s="37" t="s">
        <v>8</v>
      </c>
      <c r="E498" s="8"/>
      <c r="F498" s="8"/>
      <c r="G498" s="8"/>
      <c r="H498" s="8" t="s">
        <v>9</v>
      </c>
      <c r="I498" s="8"/>
      <c r="J498" s="8"/>
      <c r="K498" s="8"/>
      <c r="L498" s="8" t="s">
        <v>10</v>
      </c>
      <c r="M498" s="8"/>
      <c r="N498" s="8"/>
      <c r="O498" s="8"/>
      <c r="P498" s="8" t="s">
        <v>11</v>
      </c>
      <c r="Q498" s="8"/>
      <c r="R498" s="8"/>
      <c r="S498" s="8"/>
      <c r="T498" s="8" t="s">
        <v>12</v>
      </c>
      <c r="U498" s="8"/>
      <c r="V498" s="8"/>
      <c r="W498" s="8"/>
      <c r="X498" s="8" t="s">
        <v>13</v>
      </c>
      <c r="Y498" s="8"/>
      <c r="Z498" s="8"/>
      <c r="AA498" s="8"/>
      <c r="AB498" s="8" t="s">
        <v>14</v>
      </c>
      <c r="AC498" s="8"/>
      <c r="AD498" s="8"/>
      <c r="AE498" s="8"/>
      <c r="AF498" s="8" t="s">
        <v>15</v>
      </c>
      <c r="AG498" s="8"/>
      <c r="AH498" s="8"/>
      <c r="AI498" s="8"/>
      <c r="AJ498" s="8" t="s">
        <v>16</v>
      </c>
      <c r="AK498" s="8"/>
      <c r="AL498" s="8"/>
      <c r="AM498" s="8"/>
      <c r="AN498" s="8" t="s">
        <v>17</v>
      </c>
      <c r="AO498" s="8"/>
      <c r="AP498" s="8"/>
      <c r="AQ498" s="10"/>
    </row>
    <row r="499" spans="1:51" ht="15.75" thickBot="1" x14ac:dyDescent="0.3">
      <c r="A499" s="4" t="s">
        <v>19</v>
      </c>
      <c r="B499" s="5"/>
      <c r="C499" s="6"/>
      <c r="D499" s="7">
        <v>45581</v>
      </c>
      <c r="E499" s="8"/>
      <c r="F499" s="8"/>
      <c r="G499" s="8"/>
      <c r="H499" s="9">
        <v>45611</v>
      </c>
      <c r="I499" s="8"/>
      <c r="J499" s="8"/>
      <c r="K499" s="8"/>
      <c r="L499" s="9"/>
      <c r="M499" s="8"/>
      <c r="N499" s="8"/>
      <c r="O499" s="8"/>
      <c r="P499" s="9"/>
      <c r="Q499" s="8"/>
      <c r="R499" s="8"/>
      <c r="S499" s="8"/>
      <c r="T499" s="9"/>
      <c r="U499" s="8"/>
      <c r="V499" s="8"/>
      <c r="W499" s="8"/>
      <c r="X499" s="9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10"/>
    </row>
    <row r="500" spans="1:51" ht="15.75" thickBot="1" x14ac:dyDescent="0.3">
      <c r="D500" s="11">
        <v>246</v>
      </c>
      <c r="E500" s="12"/>
      <c r="F500" s="12"/>
      <c r="G500" s="12"/>
      <c r="H500" s="12">
        <v>124</v>
      </c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3"/>
    </row>
    <row r="502" spans="1:51" ht="15.75" thickBot="1" x14ac:dyDescent="0.3"/>
    <row r="503" spans="1:51" ht="15.75" thickBot="1" x14ac:dyDescent="0.3">
      <c r="B503" s="1">
        <v>63</v>
      </c>
      <c r="C503" s="14" t="s">
        <v>3</v>
      </c>
      <c r="D503" s="14"/>
      <c r="E503" s="14"/>
      <c r="F503" s="15" t="s">
        <v>4</v>
      </c>
      <c r="G503" s="15"/>
      <c r="H503" s="15"/>
      <c r="I503" s="15"/>
      <c r="J503" s="15"/>
      <c r="K503" s="15"/>
      <c r="L503" s="15" t="s">
        <v>5</v>
      </c>
      <c r="M503" s="15"/>
      <c r="AI503" s="16" t="s">
        <v>6</v>
      </c>
      <c r="AJ503" s="17"/>
      <c r="AK503" s="17"/>
      <c r="AL503" s="17"/>
      <c r="AN503" s="16" t="s">
        <v>7</v>
      </c>
      <c r="AO503" s="17"/>
      <c r="AP503" s="17"/>
      <c r="AQ503" s="17"/>
      <c r="AT503" s="18" t="s">
        <v>20</v>
      </c>
      <c r="AU503" s="19"/>
      <c r="AV503" s="19"/>
      <c r="AW503" s="19"/>
      <c r="AX503" s="19"/>
      <c r="AY503" s="20"/>
    </row>
    <row r="504" spans="1:51" ht="15.75" thickBot="1" x14ac:dyDescent="0.3">
      <c r="C504" s="21">
        <v>4831</v>
      </c>
      <c r="D504" s="22"/>
      <c r="E504" s="22"/>
      <c r="F504" s="23">
        <v>45581</v>
      </c>
      <c r="G504" s="24"/>
      <c r="H504" s="24"/>
      <c r="I504" s="24"/>
      <c r="J504" s="24"/>
      <c r="K504" s="25"/>
      <c r="L504" s="26">
        <v>4</v>
      </c>
      <c r="M504" s="26"/>
      <c r="AI504" s="27">
        <v>590</v>
      </c>
      <c r="AJ504" s="28"/>
      <c r="AK504" s="28"/>
      <c r="AL504" s="28"/>
      <c r="AN504" s="29">
        <f>AI504-D508-H508-L508-P508-T508-X508-AB508-AF508-AJ508-AN508</f>
        <v>0</v>
      </c>
      <c r="AO504" s="30"/>
      <c r="AP504" s="30"/>
      <c r="AQ504" s="30"/>
      <c r="AT504" s="31" t="s">
        <v>21</v>
      </c>
      <c r="AU504" s="32"/>
      <c r="AV504" s="32"/>
      <c r="AW504" s="32" t="s">
        <v>22</v>
      </c>
      <c r="AX504" s="32"/>
      <c r="AY504" s="33"/>
    </row>
    <row r="505" spans="1:51" ht="15.75" thickBot="1" x14ac:dyDescent="0.3">
      <c r="AT505" s="34">
        <v>20</v>
      </c>
      <c r="AU505" s="35"/>
      <c r="AV505" s="35"/>
      <c r="AW505" s="35">
        <v>23</v>
      </c>
      <c r="AX505" s="35"/>
      <c r="AY505" s="36"/>
    </row>
    <row r="506" spans="1:51" ht="15.75" thickBot="1" x14ac:dyDescent="0.3">
      <c r="D506" s="37" t="s">
        <v>8</v>
      </c>
      <c r="E506" s="8"/>
      <c r="F506" s="8"/>
      <c r="G506" s="8"/>
      <c r="H506" s="8" t="s">
        <v>9</v>
      </c>
      <c r="I506" s="8"/>
      <c r="J506" s="8"/>
      <c r="K506" s="8"/>
      <c r="L506" s="8" t="s">
        <v>10</v>
      </c>
      <c r="M506" s="8"/>
      <c r="N506" s="8"/>
      <c r="O506" s="8"/>
      <c r="P506" s="8" t="s">
        <v>11</v>
      </c>
      <c r="Q506" s="8"/>
      <c r="R506" s="8"/>
      <c r="S506" s="8"/>
      <c r="T506" s="8" t="s">
        <v>12</v>
      </c>
      <c r="U506" s="8"/>
      <c r="V506" s="8"/>
      <c r="W506" s="8"/>
      <c r="X506" s="8" t="s">
        <v>13</v>
      </c>
      <c r="Y506" s="8"/>
      <c r="Z506" s="8"/>
      <c r="AA506" s="8"/>
      <c r="AB506" s="8" t="s">
        <v>14</v>
      </c>
      <c r="AC506" s="8"/>
      <c r="AD506" s="8"/>
      <c r="AE506" s="8"/>
      <c r="AF506" s="8" t="s">
        <v>15</v>
      </c>
      <c r="AG506" s="8"/>
      <c r="AH506" s="8"/>
      <c r="AI506" s="8"/>
      <c r="AJ506" s="8" t="s">
        <v>16</v>
      </c>
      <c r="AK506" s="8"/>
      <c r="AL506" s="8"/>
      <c r="AM506" s="8"/>
      <c r="AN506" s="8" t="s">
        <v>17</v>
      </c>
      <c r="AO506" s="8"/>
      <c r="AP506" s="8"/>
      <c r="AQ506" s="10"/>
    </row>
    <row r="507" spans="1:51" ht="15.75" thickBot="1" x14ac:dyDescent="0.3">
      <c r="A507" s="4" t="s">
        <v>19</v>
      </c>
      <c r="B507" s="5"/>
      <c r="C507" s="6"/>
      <c r="D507" s="7">
        <v>45611</v>
      </c>
      <c r="E507" s="8"/>
      <c r="F507" s="8"/>
      <c r="G507" s="8"/>
      <c r="H507" s="9">
        <v>45629</v>
      </c>
      <c r="I507" s="8"/>
      <c r="J507" s="8"/>
      <c r="K507" s="8"/>
      <c r="L507" s="9">
        <v>45655</v>
      </c>
      <c r="M507" s="8"/>
      <c r="N507" s="8"/>
      <c r="O507" s="8"/>
      <c r="P507" s="9">
        <v>45672</v>
      </c>
      <c r="Q507" s="8"/>
      <c r="R507" s="8"/>
      <c r="S507" s="8"/>
      <c r="T507" s="9"/>
      <c r="U507" s="8"/>
      <c r="V507" s="8"/>
      <c r="W507" s="8"/>
      <c r="X507" s="9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10"/>
    </row>
    <row r="508" spans="1:51" ht="15.75" thickBot="1" x14ac:dyDescent="0.3">
      <c r="D508" s="11">
        <v>148</v>
      </c>
      <c r="E508" s="12"/>
      <c r="F508" s="12"/>
      <c r="G508" s="12"/>
      <c r="H508" s="12">
        <v>148</v>
      </c>
      <c r="I508" s="12"/>
      <c r="J508" s="12"/>
      <c r="K508" s="12"/>
      <c r="L508" s="12">
        <v>148</v>
      </c>
      <c r="M508" s="12"/>
      <c r="N508" s="12"/>
      <c r="O508" s="12"/>
      <c r="P508" s="12">
        <v>146</v>
      </c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3"/>
    </row>
    <row r="510" spans="1:51" ht="15.75" thickBot="1" x14ac:dyDescent="0.3"/>
    <row r="511" spans="1:51" ht="15.75" thickBot="1" x14ac:dyDescent="0.3">
      <c r="B511" s="1">
        <v>64</v>
      </c>
      <c r="C511" s="14" t="s">
        <v>3</v>
      </c>
      <c r="D511" s="14"/>
      <c r="E511" s="14"/>
      <c r="F511" s="15" t="s">
        <v>4</v>
      </c>
      <c r="G511" s="15"/>
      <c r="H511" s="15"/>
      <c r="I511" s="15"/>
      <c r="J511" s="15"/>
      <c r="K511" s="15"/>
      <c r="L511" s="15" t="s">
        <v>5</v>
      </c>
      <c r="M511" s="15"/>
      <c r="AI511" s="16" t="s">
        <v>6</v>
      </c>
      <c r="AJ511" s="17"/>
      <c r="AK511" s="17"/>
      <c r="AL511" s="17"/>
      <c r="AN511" s="16" t="s">
        <v>7</v>
      </c>
      <c r="AO511" s="17"/>
      <c r="AP511" s="17"/>
      <c r="AQ511" s="17"/>
      <c r="AT511" s="18" t="s">
        <v>20</v>
      </c>
      <c r="AU511" s="19"/>
      <c r="AV511" s="19"/>
      <c r="AW511" s="19"/>
      <c r="AX511" s="19"/>
      <c r="AY511" s="20"/>
    </row>
    <row r="512" spans="1:51" ht="15.75" thickBot="1" x14ac:dyDescent="0.3">
      <c r="C512" s="21">
        <v>4959</v>
      </c>
      <c r="D512" s="22"/>
      <c r="E512" s="22"/>
      <c r="F512" s="23">
        <v>45636</v>
      </c>
      <c r="G512" s="24"/>
      <c r="H512" s="24"/>
      <c r="I512" s="24"/>
      <c r="J512" s="24"/>
      <c r="K512" s="25"/>
      <c r="L512" s="26">
        <v>6</v>
      </c>
      <c r="M512" s="26"/>
      <c r="AI512" s="27">
        <v>1090</v>
      </c>
      <c r="AJ512" s="28"/>
      <c r="AK512" s="28"/>
      <c r="AL512" s="28"/>
      <c r="AN512" s="29">
        <f>AI512-D516-H516-L516-P516-T516-X516-AB516-AF516</f>
        <v>0</v>
      </c>
      <c r="AO512" s="30"/>
      <c r="AP512" s="30"/>
      <c r="AQ512" s="30"/>
      <c r="AT512" s="31" t="s">
        <v>21</v>
      </c>
      <c r="AU512" s="32"/>
      <c r="AV512" s="32"/>
      <c r="AW512" s="32" t="s">
        <v>22</v>
      </c>
      <c r="AX512" s="32"/>
      <c r="AY512" s="33"/>
    </row>
    <row r="513" spans="1:51" ht="15.75" thickBot="1" x14ac:dyDescent="0.3">
      <c r="AT513" s="34">
        <v>24</v>
      </c>
      <c r="AU513" s="35"/>
      <c r="AV513" s="35"/>
      <c r="AW513" s="35">
        <v>5</v>
      </c>
      <c r="AX513" s="35"/>
      <c r="AY513" s="36"/>
    </row>
    <row r="514" spans="1:51" ht="15.75" thickBot="1" x14ac:dyDescent="0.3">
      <c r="D514" s="37" t="s">
        <v>8</v>
      </c>
      <c r="E514" s="8"/>
      <c r="F514" s="8"/>
      <c r="G514" s="8"/>
      <c r="H514" s="8" t="s">
        <v>9</v>
      </c>
      <c r="I514" s="8"/>
      <c r="J514" s="8"/>
      <c r="K514" s="8"/>
      <c r="L514" s="8" t="s">
        <v>10</v>
      </c>
      <c r="M514" s="8"/>
      <c r="N514" s="8"/>
      <c r="O514" s="8"/>
      <c r="P514" s="8" t="s">
        <v>11</v>
      </c>
      <c r="Q514" s="8"/>
      <c r="R514" s="8"/>
      <c r="S514" s="8"/>
      <c r="T514" s="8" t="s">
        <v>12</v>
      </c>
      <c r="U514" s="8"/>
      <c r="V514" s="8"/>
      <c r="W514" s="8"/>
      <c r="X514" s="8" t="s">
        <v>13</v>
      </c>
      <c r="Y514" s="8"/>
      <c r="Z514" s="8"/>
      <c r="AA514" s="8"/>
      <c r="AB514" s="8" t="s">
        <v>14</v>
      </c>
      <c r="AC514" s="8"/>
      <c r="AD514" s="8"/>
      <c r="AE514" s="8"/>
      <c r="AF514" s="8" t="s">
        <v>15</v>
      </c>
      <c r="AG514" s="8"/>
      <c r="AH514" s="8"/>
      <c r="AI514" s="8"/>
      <c r="AJ514" s="8" t="s">
        <v>16</v>
      </c>
      <c r="AK514" s="8"/>
      <c r="AL514" s="8"/>
      <c r="AM514" s="8"/>
      <c r="AN514" s="8" t="s">
        <v>17</v>
      </c>
      <c r="AO514" s="8"/>
      <c r="AP514" s="8"/>
      <c r="AQ514" s="10"/>
    </row>
    <row r="515" spans="1:51" ht="15.75" thickBot="1" x14ac:dyDescent="0.3">
      <c r="A515" s="4" t="s">
        <v>19</v>
      </c>
      <c r="B515" s="5"/>
      <c r="C515" s="6"/>
      <c r="D515" s="7">
        <v>45655</v>
      </c>
      <c r="E515" s="8"/>
      <c r="F515" s="8"/>
      <c r="G515" s="8"/>
      <c r="H515" s="9">
        <v>45708</v>
      </c>
      <c r="I515" s="8"/>
      <c r="J515" s="8"/>
      <c r="K515" s="8"/>
      <c r="L515" s="9">
        <v>45721</v>
      </c>
      <c r="M515" s="8"/>
      <c r="N515" s="8"/>
      <c r="O515" s="8"/>
      <c r="P515" s="9">
        <v>45736</v>
      </c>
      <c r="Q515" s="8"/>
      <c r="R515" s="8"/>
      <c r="S515" s="8"/>
      <c r="T515" s="9">
        <v>45762</v>
      </c>
      <c r="U515" s="8"/>
      <c r="V515" s="8"/>
      <c r="W515" s="8"/>
      <c r="X515" s="9">
        <v>45779</v>
      </c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10"/>
    </row>
    <row r="516" spans="1:51" ht="15.75" thickBot="1" x14ac:dyDescent="0.3">
      <c r="D516" s="11">
        <v>182</v>
      </c>
      <c r="E516" s="12"/>
      <c r="F516" s="12"/>
      <c r="G516" s="12"/>
      <c r="H516" s="12">
        <v>182</v>
      </c>
      <c r="I516" s="12"/>
      <c r="J516" s="12"/>
      <c r="K516" s="12"/>
      <c r="L516" s="12">
        <v>182</v>
      </c>
      <c r="M516" s="12"/>
      <c r="N516" s="12"/>
      <c r="O516" s="12"/>
      <c r="P516" s="12">
        <v>182</v>
      </c>
      <c r="Q516" s="12"/>
      <c r="R516" s="12"/>
      <c r="S516" s="12"/>
      <c r="T516" s="12">
        <v>182</v>
      </c>
      <c r="U516" s="12"/>
      <c r="V516" s="12"/>
      <c r="W516" s="12"/>
      <c r="X516" s="12">
        <v>180</v>
      </c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3"/>
    </row>
    <row r="518" spans="1:51" ht="15.75" thickBot="1" x14ac:dyDescent="0.3"/>
    <row r="519" spans="1:51" ht="15.75" thickBot="1" x14ac:dyDescent="0.3">
      <c r="B519" s="1">
        <v>65</v>
      </c>
      <c r="C519" s="14" t="s">
        <v>3</v>
      </c>
      <c r="D519" s="14"/>
      <c r="E519" s="14"/>
      <c r="F519" s="15" t="s">
        <v>4</v>
      </c>
      <c r="G519" s="15"/>
      <c r="H519" s="15"/>
      <c r="I519" s="15"/>
      <c r="J519" s="15"/>
      <c r="K519" s="15"/>
      <c r="L519" s="15" t="s">
        <v>5</v>
      </c>
      <c r="M519" s="15"/>
      <c r="AI519" s="16" t="s">
        <v>6</v>
      </c>
      <c r="AJ519" s="17"/>
      <c r="AK519" s="17"/>
      <c r="AL519" s="17"/>
      <c r="AN519" s="16" t="s">
        <v>7</v>
      </c>
      <c r="AO519" s="17"/>
      <c r="AP519" s="17"/>
      <c r="AQ519" s="17"/>
      <c r="AT519" s="18" t="s">
        <v>20</v>
      </c>
      <c r="AU519" s="19"/>
      <c r="AV519" s="19"/>
      <c r="AW519" s="19"/>
      <c r="AX519" s="19"/>
      <c r="AY519" s="20"/>
    </row>
    <row r="520" spans="1:51" ht="15.75" thickBot="1" x14ac:dyDescent="0.3">
      <c r="C520" s="41">
        <v>5162</v>
      </c>
      <c r="D520" s="42"/>
      <c r="E520" s="42"/>
      <c r="F520" s="23">
        <v>45681</v>
      </c>
      <c r="G520" s="24"/>
      <c r="H520" s="24"/>
      <c r="I520" s="24"/>
      <c r="J520" s="24"/>
      <c r="K520" s="25"/>
      <c r="L520" s="26">
        <v>3</v>
      </c>
      <c r="M520" s="26"/>
      <c r="AI520" s="27">
        <v>460</v>
      </c>
      <c r="AJ520" s="28"/>
      <c r="AK520" s="28"/>
      <c r="AL520" s="28"/>
      <c r="AN520" s="29">
        <f>AI520-D524-H524-L524-P524-T524</f>
        <v>0</v>
      </c>
      <c r="AO520" s="30"/>
      <c r="AP520" s="30"/>
      <c r="AQ520" s="30"/>
      <c r="AT520" s="31" t="s">
        <v>21</v>
      </c>
      <c r="AU520" s="32"/>
      <c r="AV520" s="32"/>
      <c r="AW520" s="32" t="s">
        <v>22</v>
      </c>
      <c r="AX520" s="32"/>
      <c r="AY520" s="33"/>
    </row>
    <row r="521" spans="1:51" ht="15.75" thickBot="1" x14ac:dyDescent="0.3">
      <c r="AT521" s="34">
        <v>3</v>
      </c>
      <c r="AU521" s="35"/>
      <c r="AV521" s="35"/>
      <c r="AW521" s="35">
        <v>5</v>
      </c>
      <c r="AX521" s="35"/>
      <c r="AY521" s="36"/>
    </row>
    <row r="522" spans="1:51" ht="15.75" thickBot="1" x14ac:dyDescent="0.3">
      <c r="D522" s="37" t="s">
        <v>8</v>
      </c>
      <c r="E522" s="8"/>
      <c r="F522" s="8"/>
      <c r="G522" s="8"/>
      <c r="H522" s="8" t="s">
        <v>9</v>
      </c>
      <c r="I522" s="8"/>
      <c r="J522" s="8"/>
      <c r="K522" s="8"/>
      <c r="L522" s="8" t="s">
        <v>10</v>
      </c>
      <c r="M522" s="8"/>
      <c r="N522" s="8"/>
      <c r="O522" s="8"/>
      <c r="P522" s="8" t="s">
        <v>11</v>
      </c>
      <c r="Q522" s="8"/>
      <c r="R522" s="8"/>
      <c r="S522" s="8"/>
      <c r="T522" s="8" t="s">
        <v>12</v>
      </c>
      <c r="U522" s="8"/>
      <c r="V522" s="8"/>
      <c r="W522" s="8"/>
      <c r="X522" s="8" t="s">
        <v>13</v>
      </c>
      <c r="Y522" s="8"/>
      <c r="Z522" s="8"/>
      <c r="AA522" s="8"/>
      <c r="AB522" s="8" t="s">
        <v>14</v>
      </c>
      <c r="AC522" s="8"/>
      <c r="AD522" s="8"/>
      <c r="AE522" s="8"/>
      <c r="AF522" s="8" t="s">
        <v>15</v>
      </c>
      <c r="AG522" s="8"/>
      <c r="AH522" s="8"/>
      <c r="AI522" s="8"/>
      <c r="AJ522" s="8" t="s">
        <v>16</v>
      </c>
      <c r="AK522" s="8"/>
      <c r="AL522" s="8"/>
      <c r="AM522" s="8"/>
      <c r="AN522" s="8" t="s">
        <v>17</v>
      </c>
      <c r="AO522" s="8"/>
      <c r="AP522" s="8"/>
      <c r="AQ522" s="10"/>
    </row>
    <row r="523" spans="1:51" ht="15.75" thickBot="1" x14ac:dyDescent="0.3">
      <c r="A523" s="4" t="s">
        <v>19</v>
      </c>
      <c r="B523" s="5"/>
      <c r="C523" s="6"/>
      <c r="D523" s="7">
        <v>45705</v>
      </c>
      <c r="E523" s="8"/>
      <c r="F523" s="8"/>
      <c r="G523" s="8"/>
      <c r="H523" s="9">
        <v>45721</v>
      </c>
      <c r="I523" s="8"/>
      <c r="J523" s="8"/>
      <c r="K523" s="8"/>
      <c r="L523" s="9">
        <v>45736</v>
      </c>
      <c r="M523" s="8"/>
      <c r="N523" s="8"/>
      <c r="O523" s="8"/>
      <c r="P523" s="9"/>
      <c r="Q523" s="8"/>
      <c r="R523" s="8"/>
      <c r="S523" s="8"/>
      <c r="T523" s="9"/>
      <c r="U523" s="8"/>
      <c r="V523" s="8"/>
      <c r="W523" s="8"/>
      <c r="X523" s="9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10"/>
    </row>
    <row r="524" spans="1:51" ht="15.75" thickBot="1" x14ac:dyDescent="0.3">
      <c r="D524" s="11">
        <v>153</v>
      </c>
      <c r="E524" s="12"/>
      <c r="F524" s="12"/>
      <c r="G524" s="12"/>
      <c r="H524" s="12">
        <v>153</v>
      </c>
      <c r="I524" s="12"/>
      <c r="J524" s="12"/>
      <c r="K524" s="12"/>
      <c r="L524" s="12">
        <v>154</v>
      </c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3"/>
    </row>
    <row r="526" spans="1:51" ht="15.75" thickBot="1" x14ac:dyDescent="0.3"/>
    <row r="527" spans="1:51" ht="15.75" thickBot="1" x14ac:dyDescent="0.3">
      <c r="B527" s="1">
        <v>66</v>
      </c>
      <c r="C527" s="14" t="s">
        <v>3</v>
      </c>
      <c r="D527" s="14"/>
      <c r="E527" s="14"/>
      <c r="F527" s="15" t="s">
        <v>4</v>
      </c>
      <c r="G527" s="15"/>
      <c r="H527" s="15"/>
      <c r="I527" s="15"/>
      <c r="J527" s="15"/>
      <c r="K527" s="15"/>
      <c r="L527" s="15" t="s">
        <v>5</v>
      </c>
      <c r="M527" s="15"/>
      <c r="AI527" s="16" t="s">
        <v>6</v>
      </c>
      <c r="AJ527" s="17"/>
      <c r="AK527" s="17"/>
      <c r="AL527" s="17"/>
      <c r="AN527" s="16" t="s">
        <v>7</v>
      </c>
      <c r="AO527" s="17"/>
      <c r="AP527" s="17"/>
      <c r="AQ527" s="17"/>
      <c r="AT527" s="18" t="s">
        <v>20</v>
      </c>
      <c r="AU527" s="19"/>
      <c r="AV527" s="19"/>
      <c r="AW527" s="19"/>
      <c r="AX527" s="19"/>
      <c r="AY527" s="20"/>
    </row>
    <row r="528" spans="1:51" ht="15.75" thickBot="1" x14ac:dyDescent="0.3">
      <c r="C528" s="41">
        <v>5452</v>
      </c>
      <c r="D528" s="42"/>
      <c r="E528" s="42"/>
      <c r="F528" s="23">
        <v>45787</v>
      </c>
      <c r="G528" s="24"/>
      <c r="H528" s="24"/>
      <c r="I528" s="24"/>
      <c r="J528" s="24"/>
      <c r="K528" s="25"/>
      <c r="L528" s="26">
        <v>3</v>
      </c>
      <c r="M528" s="26"/>
      <c r="AI528" s="27">
        <v>450</v>
      </c>
      <c r="AJ528" s="28"/>
      <c r="AK528" s="28"/>
      <c r="AL528" s="28"/>
      <c r="AN528" s="29">
        <f>AI528-D532-H532-L532-P532-T532-X532-AB532-AF532-AJ532-AN532</f>
        <v>0</v>
      </c>
      <c r="AO528" s="30"/>
      <c r="AP528" s="30"/>
      <c r="AQ528" s="30"/>
      <c r="AT528" s="31" t="s">
        <v>21</v>
      </c>
      <c r="AU528" s="32"/>
      <c r="AV528" s="32"/>
      <c r="AW528" s="32" t="s">
        <v>22</v>
      </c>
      <c r="AX528" s="32"/>
      <c r="AY528" s="33"/>
    </row>
    <row r="529" spans="1:51" ht="15.75" thickBot="1" x14ac:dyDescent="0.3">
      <c r="AT529" s="34">
        <v>10</v>
      </c>
      <c r="AU529" s="35"/>
      <c r="AV529" s="35"/>
      <c r="AW529" s="35">
        <v>12</v>
      </c>
      <c r="AX529" s="35"/>
      <c r="AY529" s="36"/>
    </row>
    <row r="530" spans="1:51" ht="15.75" thickBot="1" x14ac:dyDescent="0.3">
      <c r="D530" s="37" t="s">
        <v>8</v>
      </c>
      <c r="E530" s="8"/>
      <c r="F530" s="8"/>
      <c r="G530" s="8"/>
      <c r="H530" s="8" t="s">
        <v>9</v>
      </c>
      <c r="I530" s="8"/>
      <c r="J530" s="8"/>
      <c r="K530" s="8"/>
      <c r="L530" s="8" t="s">
        <v>10</v>
      </c>
      <c r="M530" s="8"/>
      <c r="N530" s="8"/>
      <c r="O530" s="8"/>
      <c r="P530" s="8" t="s">
        <v>11</v>
      </c>
      <c r="Q530" s="8"/>
      <c r="R530" s="8"/>
      <c r="S530" s="8"/>
      <c r="T530" s="8" t="s">
        <v>12</v>
      </c>
      <c r="U530" s="8"/>
      <c r="V530" s="8"/>
      <c r="W530" s="8"/>
      <c r="X530" s="8" t="s">
        <v>13</v>
      </c>
      <c r="Y530" s="8"/>
      <c r="Z530" s="8"/>
      <c r="AA530" s="8"/>
      <c r="AB530" s="8" t="s">
        <v>14</v>
      </c>
      <c r="AC530" s="8"/>
      <c r="AD530" s="8"/>
      <c r="AE530" s="8"/>
      <c r="AF530" s="8" t="s">
        <v>15</v>
      </c>
      <c r="AG530" s="8"/>
      <c r="AH530" s="8"/>
      <c r="AI530" s="8"/>
      <c r="AJ530" s="8" t="s">
        <v>16</v>
      </c>
      <c r="AK530" s="8"/>
      <c r="AL530" s="8"/>
      <c r="AM530" s="8"/>
      <c r="AN530" s="8" t="s">
        <v>17</v>
      </c>
      <c r="AO530" s="8"/>
      <c r="AP530" s="8"/>
      <c r="AQ530" s="10"/>
    </row>
    <row r="531" spans="1:51" ht="15.75" thickBot="1" x14ac:dyDescent="0.3">
      <c r="A531" s="4" t="s">
        <v>19</v>
      </c>
      <c r="B531" s="5"/>
      <c r="C531" s="6"/>
      <c r="D531" s="7">
        <v>45813</v>
      </c>
      <c r="E531" s="8"/>
      <c r="F531" s="8"/>
      <c r="G531" s="8"/>
      <c r="H531" s="9">
        <v>45842</v>
      </c>
      <c r="I531" s="8"/>
      <c r="J531" s="8"/>
      <c r="K531" s="8"/>
      <c r="L531" s="9">
        <v>45853</v>
      </c>
      <c r="M531" s="8"/>
      <c r="N531" s="8"/>
      <c r="O531" s="8"/>
      <c r="P531" s="9"/>
      <c r="Q531" s="8"/>
      <c r="R531" s="8"/>
      <c r="S531" s="8"/>
      <c r="T531" s="9"/>
      <c r="U531" s="8"/>
      <c r="V531" s="8"/>
      <c r="W531" s="8"/>
      <c r="X531" s="9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10"/>
    </row>
    <row r="532" spans="1:51" ht="15.75" thickBot="1" x14ac:dyDescent="0.3">
      <c r="D532" s="11">
        <v>150</v>
      </c>
      <c r="E532" s="12"/>
      <c r="F532" s="12"/>
      <c r="G532" s="12"/>
      <c r="H532" s="12">
        <v>150</v>
      </c>
      <c r="I532" s="12"/>
      <c r="J532" s="12"/>
      <c r="K532" s="12"/>
      <c r="L532" s="12">
        <v>150</v>
      </c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3"/>
    </row>
    <row r="534" spans="1:51" ht="15.75" thickBot="1" x14ac:dyDescent="0.3"/>
    <row r="535" spans="1:51" ht="15.75" thickBot="1" x14ac:dyDescent="0.3">
      <c r="B535" s="1">
        <v>67</v>
      </c>
      <c r="C535" s="14" t="s">
        <v>3</v>
      </c>
      <c r="D535" s="14"/>
      <c r="E535" s="14"/>
      <c r="F535" s="15" t="s">
        <v>4</v>
      </c>
      <c r="G535" s="15"/>
      <c r="H535" s="15"/>
      <c r="I535" s="15"/>
      <c r="J535" s="15"/>
      <c r="K535" s="15"/>
      <c r="L535" s="15" t="s">
        <v>5</v>
      </c>
      <c r="M535" s="15"/>
      <c r="AI535" s="16" t="s">
        <v>6</v>
      </c>
      <c r="AJ535" s="17"/>
      <c r="AK535" s="17"/>
      <c r="AL535" s="17"/>
      <c r="AN535" s="16" t="s">
        <v>7</v>
      </c>
      <c r="AO535" s="17"/>
      <c r="AP535" s="17"/>
      <c r="AQ535" s="17"/>
      <c r="AT535" s="18" t="s">
        <v>20</v>
      </c>
      <c r="AU535" s="19"/>
      <c r="AV535" s="19"/>
      <c r="AW535" s="19"/>
      <c r="AX535" s="19"/>
      <c r="AY535" s="20"/>
    </row>
    <row r="536" spans="1:51" ht="15.75" thickBot="1" x14ac:dyDescent="0.3">
      <c r="C536" s="21">
        <v>5645</v>
      </c>
      <c r="D536" s="22"/>
      <c r="E536" s="22"/>
      <c r="F536" s="23">
        <v>45853</v>
      </c>
      <c r="G536" s="24"/>
      <c r="H536" s="24"/>
      <c r="I536" s="24"/>
      <c r="J536" s="24"/>
      <c r="K536" s="25"/>
      <c r="L536" s="26">
        <v>4</v>
      </c>
      <c r="M536" s="26"/>
      <c r="AI536" s="27">
        <v>650</v>
      </c>
      <c r="AJ536" s="28"/>
      <c r="AK536" s="28"/>
      <c r="AL536" s="28"/>
      <c r="AN536" s="29">
        <f>AI536-D540-H540-L540-P540-T540-X540-AB540-AF540-AJ540-AN540</f>
        <v>0</v>
      </c>
      <c r="AO536" s="30"/>
      <c r="AP536" s="30"/>
      <c r="AQ536" s="30"/>
      <c r="AT536" s="31" t="s">
        <v>21</v>
      </c>
      <c r="AU536" s="32"/>
      <c r="AV536" s="32"/>
      <c r="AW536" s="32" t="s">
        <v>22</v>
      </c>
      <c r="AX536" s="32"/>
      <c r="AY536" s="33"/>
    </row>
    <row r="537" spans="1:51" ht="15.75" thickBot="1" x14ac:dyDescent="0.3">
      <c r="AT537" s="34">
        <v>14</v>
      </c>
      <c r="AU537" s="35"/>
      <c r="AV537" s="35"/>
      <c r="AW537" s="35">
        <v>17</v>
      </c>
      <c r="AX537" s="35"/>
      <c r="AY537" s="36"/>
    </row>
    <row r="538" spans="1:51" ht="15.75" thickBot="1" x14ac:dyDescent="0.3">
      <c r="D538" s="37" t="s">
        <v>8</v>
      </c>
      <c r="E538" s="8"/>
      <c r="F538" s="8"/>
      <c r="G538" s="8"/>
      <c r="H538" s="8" t="s">
        <v>9</v>
      </c>
      <c r="I538" s="8"/>
      <c r="J538" s="8"/>
      <c r="K538" s="8"/>
      <c r="L538" s="8" t="s">
        <v>10</v>
      </c>
      <c r="M538" s="8"/>
      <c r="N538" s="8"/>
      <c r="O538" s="8"/>
      <c r="P538" s="8" t="s">
        <v>11</v>
      </c>
      <c r="Q538" s="8"/>
      <c r="R538" s="8"/>
      <c r="S538" s="8"/>
      <c r="T538" s="8" t="s">
        <v>12</v>
      </c>
      <c r="U538" s="8"/>
      <c r="V538" s="8"/>
      <c r="W538" s="8"/>
      <c r="X538" s="8" t="s">
        <v>13</v>
      </c>
      <c r="Y538" s="8"/>
      <c r="Z538" s="8"/>
      <c r="AA538" s="8"/>
      <c r="AB538" s="8" t="s">
        <v>14</v>
      </c>
      <c r="AC538" s="8"/>
      <c r="AD538" s="8"/>
      <c r="AE538" s="8"/>
      <c r="AF538" s="8" t="s">
        <v>15</v>
      </c>
      <c r="AG538" s="8"/>
      <c r="AH538" s="8"/>
      <c r="AI538" s="8"/>
      <c r="AJ538" s="8" t="s">
        <v>16</v>
      </c>
      <c r="AK538" s="8"/>
      <c r="AL538" s="8"/>
      <c r="AM538" s="8"/>
      <c r="AN538" s="8" t="s">
        <v>17</v>
      </c>
      <c r="AO538" s="8"/>
      <c r="AP538" s="8"/>
      <c r="AQ538" s="10"/>
    </row>
    <row r="539" spans="1:51" ht="15.75" thickBot="1" x14ac:dyDescent="0.3">
      <c r="A539" s="4" t="s">
        <v>19</v>
      </c>
      <c r="B539" s="5"/>
      <c r="C539" s="6"/>
      <c r="D539" s="7">
        <v>45884</v>
      </c>
      <c r="E539" s="8"/>
      <c r="F539" s="8"/>
      <c r="G539" s="8"/>
      <c r="H539" s="9">
        <v>45930</v>
      </c>
      <c r="I539" s="8"/>
      <c r="J539" s="8"/>
      <c r="K539" s="8"/>
      <c r="L539" s="9"/>
      <c r="M539" s="8"/>
      <c r="N539" s="8"/>
      <c r="O539" s="8"/>
      <c r="P539" s="9"/>
      <c r="Q539" s="8"/>
      <c r="R539" s="8"/>
      <c r="S539" s="8"/>
      <c r="T539" s="9"/>
      <c r="U539" s="8"/>
      <c r="V539" s="8"/>
      <c r="W539" s="8"/>
      <c r="X539" s="9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10"/>
    </row>
    <row r="540" spans="1:51" ht="15.75" thickBot="1" x14ac:dyDescent="0.3">
      <c r="D540" s="11">
        <v>163</v>
      </c>
      <c r="E540" s="12"/>
      <c r="F540" s="12"/>
      <c r="G540" s="12"/>
      <c r="H540" s="12">
        <v>487</v>
      </c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3"/>
    </row>
    <row r="542" spans="1:51" ht="15.75" thickBot="1" x14ac:dyDescent="0.3"/>
    <row r="543" spans="1:51" ht="15.75" thickBot="1" x14ac:dyDescent="0.3">
      <c r="B543" s="1">
        <v>68</v>
      </c>
      <c r="C543" s="14" t="s">
        <v>3</v>
      </c>
      <c r="D543" s="14"/>
      <c r="E543" s="14"/>
      <c r="F543" s="15" t="s">
        <v>4</v>
      </c>
      <c r="G543" s="15"/>
      <c r="H543" s="15"/>
      <c r="I543" s="15"/>
      <c r="J543" s="15"/>
      <c r="K543" s="15"/>
      <c r="L543" s="15" t="s">
        <v>5</v>
      </c>
      <c r="M543" s="15"/>
      <c r="AI543" s="16" t="s">
        <v>6</v>
      </c>
      <c r="AJ543" s="17"/>
      <c r="AK543" s="17"/>
      <c r="AL543" s="17"/>
      <c r="AN543" s="16" t="s">
        <v>7</v>
      </c>
      <c r="AO543" s="17"/>
      <c r="AP543" s="17"/>
      <c r="AQ543" s="17"/>
      <c r="AT543" s="18" t="s">
        <v>20</v>
      </c>
      <c r="AU543" s="19"/>
      <c r="AV543" s="19"/>
      <c r="AW543" s="19"/>
      <c r="AX543" s="19"/>
      <c r="AY543" s="20"/>
    </row>
    <row r="544" spans="1:51" ht="15.75" thickBot="1" x14ac:dyDescent="0.3">
      <c r="C544" s="21">
        <v>6032</v>
      </c>
      <c r="D544" s="22"/>
      <c r="E544" s="22"/>
      <c r="F544" s="23">
        <v>46041</v>
      </c>
      <c r="G544" s="24"/>
      <c r="H544" s="24"/>
      <c r="I544" s="24"/>
      <c r="J544" s="24"/>
      <c r="K544" s="25"/>
      <c r="L544" s="26">
        <v>4</v>
      </c>
      <c r="M544" s="26"/>
      <c r="AI544" s="27">
        <v>550</v>
      </c>
      <c r="AJ544" s="28"/>
      <c r="AK544" s="28"/>
      <c r="AL544" s="28"/>
      <c r="AN544" s="29">
        <f>AI544-D548-H548-L548-P548-T548-X548-AB548-AF548-AJ548-AN548</f>
        <v>0</v>
      </c>
      <c r="AO544" s="30"/>
      <c r="AP544" s="30"/>
      <c r="AQ544" s="30"/>
      <c r="AT544" s="31" t="s">
        <v>21</v>
      </c>
      <c r="AU544" s="32"/>
      <c r="AV544" s="32"/>
      <c r="AW544" s="32" t="s">
        <v>22</v>
      </c>
      <c r="AX544" s="32"/>
      <c r="AY544" s="33"/>
    </row>
    <row r="545" spans="1:51" ht="15.75" thickBot="1" x14ac:dyDescent="0.3">
      <c r="AT545" s="34">
        <v>1</v>
      </c>
      <c r="AU545" s="35"/>
      <c r="AV545" s="35"/>
      <c r="AW545" s="35">
        <v>4</v>
      </c>
      <c r="AX545" s="35"/>
      <c r="AY545" s="36"/>
    </row>
    <row r="546" spans="1:51" ht="15.75" thickBot="1" x14ac:dyDescent="0.3">
      <c r="D546" s="37" t="s">
        <v>8</v>
      </c>
      <c r="E546" s="8"/>
      <c r="F546" s="8"/>
      <c r="G546" s="8"/>
      <c r="H546" s="8" t="s">
        <v>9</v>
      </c>
      <c r="I546" s="8"/>
      <c r="J546" s="8"/>
      <c r="K546" s="8"/>
      <c r="L546" s="8" t="s">
        <v>10</v>
      </c>
      <c r="M546" s="8"/>
      <c r="N546" s="8"/>
      <c r="O546" s="8"/>
      <c r="P546" s="8" t="s">
        <v>11</v>
      </c>
      <c r="Q546" s="8"/>
      <c r="R546" s="8"/>
      <c r="S546" s="8"/>
      <c r="T546" s="8" t="s">
        <v>12</v>
      </c>
      <c r="U546" s="8"/>
      <c r="V546" s="8"/>
      <c r="W546" s="8"/>
      <c r="X546" s="8" t="s">
        <v>13</v>
      </c>
      <c r="Y546" s="8"/>
      <c r="Z546" s="8"/>
      <c r="AA546" s="8"/>
      <c r="AB546" s="8" t="s">
        <v>14</v>
      </c>
      <c r="AC546" s="8"/>
      <c r="AD546" s="8"/>
      <c r="AE546" s="8"/>
      <c r="AF546" s="8" t="s">
        <v>15</v>
      </c>
      <c r="AG546" s="8"/>
      <c r="AH546" s="8"/>
      <c r="AI546" s="8"/>
      <c r="AJ546" s="8" t="s">
        <v>16</v>
      </c>
      <c r="AK546" s="8"/>
      <c r="AL546" s="8"/>
      <c r="AM546" s="8"/>
      <c r="AN546" s="8" t="s">
        <v>17</v>
      </c>
      <c r="AO546" s="8"/>
      <c r="AP546" s="8"/>
      <c r="AQ546" s="10"/>
    </row>
    <row r="547" spans="1:51" ht="15.75" thickBot="1" x14ac:dyDescent="0.3">
      <c r="A547" s="4" t="s">
        <v>19</v>
      </c>
      <c r="B547" s="5"/>
      <c r="C547" s="6"/>
      <c r="D547" s="7">
        <v>46017</v>
      </c>
      <c r="E547" s="8"/>
      <c r="F547" s="8"/>
      <c r="G547" s="8"/>
      <c r="H547" s="9"/>
      <c r="I547" s="8"/>
      <c r="J547" s="8"/>
      <c r="K547" s="8"/>
      <c r="L547" s="9"/>
      <c r="M547" s="8"/>
      <c r="N547" s="8"/>
      <c r="O547" s="8"/>
      <c r="P547" s="9"/>
      <c r="Q547" s="8"/>
      <c r="R547" s="8"/>
      <c r="S547" s="8"/>
      <c r="T547" s="9"/>
      <c r="U547" s="8"/>
      <c r="V547" s="8"/>
      <c r="W547" s="8"/>
      <c r="X547" s="9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10"/>
    </row>
    <row r="548" spans="1:51" ht="15.75" thickBot="1" x14ac:dyDescent="0.3">
      <c r="D548" s="11">
        <v>550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3"/>
    </row>
    <row r="550" spans="1:51" ht="15.75" thickBot="1" x14ac:dyDescent="0.3"/>
    <row r="551" spans="1:51" ht="15.75" thickBot="1" x14ac:dyDescent="0.3">
      <c r="C551" s="15" t="s">
        <v>3</v>
      </c>
      <c r="D551" s="15"/>
      <c r="E551" s="15"/>
      <c r="F551" s="15" t="s">
        <v>4</v>
      </c>
      <c r="G551" s="15"/>
      <c r="H551" s="15"/>
      <c r="I551" s="15"/>
      <c r="J551" s="15"/>
      <c r="K551" s="15"/>
      <c r="L551" s="15" t="s">
        <v>5</v>
      </c>
      <c r="M551" s="15"/>
      <c r="AI551" s="37" t="s">
        <v>6</v>
      </c>
      <c r="AJ551" s="8"/>
      <c r="AK551" s="8"/>
      <c r="AL551" s="8"/>
      <c r="AN551" s="56" t="s">
        <v>7</v>
      </c>
      <c r="AO551" s="52"/>
      <c r="AP551" s="52"/>
      <c r="AQ551" s="52"/>
      <c r="AT551" s="75" t="s">
        <v>20</v>
      </c>
      <c r="AU551" s="76"/>
      <c r="AV551" s="76"/>
      <c r="AW551" s="76"/>
      <c r="AX551" s="76"/>
      <c r="AY551" s="77"/>
    </row>
    <row r="552" spans="1:51" ht="15.75" thickBot="1" x14ac:dyDescent="0.3">
      <c r="C552" s="23"/>
      <c r="D552" s="24"/>
      <c r="E552" s="24"/>
      <c r="F552" s="23"/>
      <c r="G552" s="24"/>
      <c r="H552" s="24"/>
      <c r="I552" s="24"/>
      <c r="J552" s="24"/>
      <c r="K552" s="25"/>
      <c r="L552" s="26"/>
      <c r="M552" s="26"/>
      <c r="AI552" s="11"/>
      <c r="AJ552" s="12"/>
      <c r="AK552" s="12"/>
      <c r="AL552" s="12"/>
      <c r="AN552" s="78">
        <f>AI552-D556-H556-L556-P556-T556-X556-AB556-AF556-AJ556-AN556</f>
        <v>0</v>
      </c>
      <c r="AO552" s="79"/>
      <c r="AP552" s="79"/>
      <c r="AQ552" s="79"/>
      <c r="AT552" s="80" t="s">
        <v>21</v>
      </c>
      <c r="AU552" s="81"/>
      <c r="AV552" s="81"/>
      <c r="AW552" s="81" t="s">
        <v>22</v>
      </c>
      <c r="AX552" s="81"/>
      <c r="AY552" s="82"/>
    </row>
    <row r="553" spans="1:51" ht="15.75" thickBot="1" x14ac:dyDescent="0.3">
      <c r="AT553" s="83"/>
      <c r="AU553" s="84"/>
      <c r="AV553" s="84"/>
      <c r="AW553" s="84"/>
      <c r="AX553" s="84"/>
      <c r="AY553" s="85"/>
    </row>
    <row r="554" spans="1:51" ht="15.75" thickBot="1" x14ac:dyDescent="0.3">
      <c r="D554" s="37" t="s">
        <v>8</v>
      </c>
      <c r="E554" s="8"/>
      <c r="F554" s="8"/>
      <c r="G554" s="8"/>
      <c r="H554" s="8" t="s">
        <v>9</v>
      </c>
      <c r="I554" s="8"/>
      <c r="J554" s="8"/>
      <c r="K554" s="8"/>
      <c r="L554" s="8" t="s">
        <v>10</v>
      </c>
      <c r="M554" s="8"/>
      <c r="N554" s="8"/>
      <c r="O554" s="8"/>
      <c r="P554" s="8" t="s">
        <v>11</v>
      </c>
      <c r="Q554" s="8"/>
      <c r="R554" s="8"/>
      <c r="S554" s="8"/>
      <c r="T554" s="8" t="s">
        <v>12</v>
      </c>
      <c r="U554" s="8"/>
      <c r="V554" s="8"/>
      <c r="W554" s="8"/>
      <c r="X554" s="8" t="s">
        <v>13</v>
      </c>
      <c r="Y554" s="8"/>
      <c r="Z554" s="8"/>
      <c r="AA554" s="8"/>
      <c r="AB554" s="8" t="s">
        <v>14</v>
      </c>
      <c r="AC554" s="8"/>
      <c r="AD554" s="8"/>
      <c r="AE554" s="8"/>
      <c r="AF554" s="8" t="s">
        <v>15</v>
      </c>
      <c r="AG554" s="8"/>
      <c r="AH554" s="8"/>
      <c r="AI554" s="8"/>
      <c r="AJ554" s="8" t="s">
        <v>16</v>
      </c>
      <c r="AK554" s="8"/>
      <c r="AL554" s="8"/>
      <c r="AM554" s="8"/>
      <c r="AN554" s="8" t="s">
        <v>17</v>
      </c>
      <c r="AO554" s="8"/>
      <c r="AP554" s="8"/>
      <c r="AQ554" s="10"/>
    </row>
    <row r="555" spans="1:51" ht="15.75" thickBot="1" x14ac:dyDescent="0.3">
      <c r="A555" s="4" t="s">
        <v>19</v>
      </c>
      <c r="B555" s="5"/>
      <c r="C555" s="6"/>
      <c r="D555" s="7"/>
      <c r="E555" s="8"/>
      <c r="F555" s="8"/>
      <c r="G555" s="8"/>
      <c r="H555" s="9"/>
      <c r="I555" s="8"/>
      <c r="J555" s="8"/>
      <c r="K555" s="8"/>
      <c r="L555" s="9"/>
      <c r="M555" s="8"/>
      <c r="N555" s="8"/>
      <c r="O555" s="8"/>
      <c r="P555" s="9"/>
      <c r="Q555" s="8"/>
      <c r="R555" s="8"/>
      <c r="S555" s="8"/>
      <c r="T555" s="9"/>
      <c r="U555" s="8"/>
      <c r="V555" s="8"/>
      <c r="W555" s="8"/>
      <c r="X555" s="9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10"/>
    </row>
    <row r="556" spans="1:51" ht="15.75" thickBot="1" x14ac:dyDescent="0.3"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3"/>
    </row>
  </sheetData>
  <mergeCells count="3182">
    <mergeCell ref="A555:C555"/>
    <mergeCell ref="D555:G555"/>
    <mergeCell ref="H555:K555"/>
    <mergeCell ref="L555:O555"/>
    <mergeCell ref="P555:S555"/>
    <mergeCell ref="T555:W555"/>
    <mergeCell ref="X555:AA555"/>
    <mergeCell ref="AB555:AE555"/>
    <mergeCell ref="AF555:AI555"/>
    <mergeCell ref="AJ555:AM555"/>
    <mergeCell ref="AN555:AQ555"/>
    <mergeCell ref="D556:G556"/>
    <mergeCell ref="H556:K556"/>
    <mergeCell ref="L556:O556"/>
    <mergeCell ref="P556:S556"/>
    <mergeCell ref="T556:W556"/>
    <mergeCell ref="X556:AA556"/>
    <mergeCell ref="AB556:AE556"/>
    <mergeCell ref="AF556:AI556"/>
    <mergeCell ref="AJ556:AM556"/>
    <mergeCell ref="AN556:AQ556"/>
    <mergeCell ref="C551:E551"/>
    <mergeCell ref="F551:K551"/>
    <mergeCell ref="L551:M551"/>
    <mergeCell ref="AI551:AL551"/>
    <mergeCell ref="AN551:AQ551"/>
    <mergeCell ref="AT551:AY551"/>
    <mergeCell ref="C552:E552"/>
    <mergeCell ref="F552:K552"/>
    <mergeCell ref="L552:M552"/>
    <mergeCell ref="AI552:AL552"/>
    <mergeCell ref="AN552:AQ552"/>
    <mergeCell ref="AT552:AV552"/>
    <mergeCell ref="AW552:AY552"/>
    <mergeCell ref="AT553:AV553"/>
    <mergeCell ref="AW553:AY553"/>
    <mergeCell ref="D554:G554"/>
    <mergeCell ref="H554:K554"/>
    <mergeCell ref="L554:O554"/>
    <mergeCell ref="P554:S554"/>
    <mergeCell ref="T554:W554"/>
    <mergeCell ref="X554:AA554"/>
    <mergeCell ref="AB554:AE554"/>
    <mergeCell ref="AF554:AI554"/>
    <mergeCell ref="AJ554:AM554"/>
    <mergeCell ref="AN554:AQ554"/>
    <mergeCell ref="A547:C547"/>
    <mergeCell ref="D547:G547"/>
    <mergeCell ref="H547:K547"/>
    <mergeCell ref="L547:O547"/>
    <mergeCell ref="P547:S547"/>
    <mergeCell ref="T547:W547"/>
    <mergeCell ref="X547:AA547"/>
    <mergeCell ref="AB547:AE547"/>
    <mergeCell ref="AF547:AI547"/>
    <mergeCell ref="AJ547:AM547"/>
    <mergeCell ref="AN547:AQ547"/>
    <mergeCell ref="D548:G548"/>
    <mergeCell ref="H548:K548"/>
    <mergeCell ref="L548:O548"/>
    <mergeCell ref="P548:S548"/>
    <mergeCell ref="T548:W548"/>
    <mergeCell ref="X548:AA548"/>
    <mergeCell ref="AB548:AE548"/>
    <mergeCell ref="AF548:AI548"/>
    <mergeCell ref="AJ548:AM548"/>
    <mergeCell ref="AN548:AQ548"/>
    <mergeCell ref="C543:E543"/>
    <mergeCell ref="F543:K543"/>
    <mergeCell ref="L543:M543"/>
    <mergeCell ref="AI543:AL543"/>
    <mergeCell ref="AN543:AQ543"/>
    <mergeCell ref="AT543:AY543"/>
    <mergeCell ref="C544:E544"/>
    <mergeCell ref="F544:K544"/>
    <mergeCell ref="L544:M544"/>
    <mergeCell ref="AI544:AL544"/>
    <mergeCell ref="AN544:AQ544"/>
    <mergeCell ref="AT544:AV544"/>
    <mergeCell ref="AW544:AY544"/>
    <mergeCell ref="AT545:AV545"/>
    <mergeCell ref="AW545:AY545"/>
    <mergeCell ref="D546:G546"/>
    <mergeCell ref="H546:K546"/>
    <mergeCell ref="L546:O546"/>
    <mergeCell ref="P546:S546"/>
    <mergeCell ref="T546:W546"/>
    <mergeCell ref="X546:AA546"/>
    <mergeCell ref="AB546:AE546"/>
    <mergeCell ref="AF546:AI546"/>
    <mergeCell ref="AJ546:AM546"/>
    <mergeCell ref="AN546:AQ546"/>
    <mergeCell ref="A539:C539"/>
    <mergeCell ref="D539:G539"/>
    <mergeCell ref="H539:K539"/>
    <mergeCell ref="L539:O539"/>
    <mergeCell ref="P539:S539"/>
    <mergeCell ref="T539:W539"/>
    <mergeCell ref="X539:AA539"/>
    <mergeCell ref="AB539:AE539"/>
    <mergeCell ref="AF539:AI539"/>
    <mergeCell ref="AJ539:AM539"/>
    <mergeCell ref="AN539:AQ539"/>
    <mergeCell ref="D540:G540"/>
    <mergeCell ref="H540:K540"/>
    <mergeCell ref="L540:O540"/>
    <mergeCell ref="P540:S540"/>
    <mergeCell ref="T540:W540"/>
    <mergeCell ref="X540:AA540"/>
    <mergeCell ref="AB540:AE540"/>
    <mergeCell ref="AF540:AI540"/>
    <mergeCell ref="AJ540:AM540"/>
    <mergeCell ref="AN540:AQ540"/>
    <mergeCell ref="C535:E535"/>
    <mergeCell ref="F535:K535"/>
    <mergeCell ref="L535:M535"/>
    <mergeCell ref="AI535:AL535"/>
    <mergeCell ref="AN535:AQ535"/>
    <mergeCell ref="AT535:AY535"/>
    <mergeCell ref="C536:E536"/>
    <mergeCell ref="F536:K536"/>
    <mergeCell ref="L536:M536"/>
    <mergeCell ref="AI536:AL536"/>
    <mergeCell ref="AN536:AQ536"/>
    <mergeCell ref="AT536:AV536"/>
    <mergeCell ref="AW536:AY536"/>
    <mergeCell ref="AT537:AV537"/>
    <mergeCell ref="AW537:AY537"/>
    <mergeCell ref="D538:G538"/>
    <mergeCell ref="H538:K538"/>
    <mergeCell ref="L538:O538"/>
    <mergeCell ref="P538:S538"/>
    <mergeCell ref="T538:W538"/>
    <mergeCell ref="X538:AA538"/>
    <mergeCell ref="AB538:AE538"/>
    <mergeCell ref="AF538:AI538"/>
    <mergeCell ref="AJ538:AM538"/>
    <mergeCell ref="AN538:AQ538"/>
    <mergeCell ref="A531:C531"/>
    <mergeCell ref="D531:G531"/>
    <mergeCell ref="H531:K531"/>
    <mergeCell ref="L531:O531"/>
    <mergeCell ref="P531:S531"/>
    <mergeCell ref="T531:W531"/>
    <mergeCell ref="X531:AA531"/>
    <mergeCell ref="AB531:AE531"/>
    <mergeCell ref="AF531:AI531"/>
    <mergeCell ref="AJ531:AM531"/>
    <mergeCell ref="AN531:AQ531"/>
    <mergeCell ref="D532:G532"/>
    <mergeCell ref="H532:K532"/>
    <mergeCell ref="L532:O532"/>
    <mergeCell ref="P532:S532"/>
    <mergeCell ref="T532:W532"/>
    <mergeCell ref="X532:AA532"/>
    <mergeCell ref="AB532:AE532"/>
    <mergeCell ref="AF532:AI532"/>
    <mergeCell ref="AJ532:AM532"/>
    <mergeCell ref="AN532:AQ532"/>
    <mergeCell ref="C527:E527"/>
    <mergeCell ref="F527:K527"/>
    <mergeCell ref="L527:M527"/>
    <mergeCell ref="AI527:AL527"/>
    <mergeCell ref="AN527:AQ527"/>
    <mergeCell ref="AT527:AY527"/>
    <mergeCell ref="C528:E528"/>
    <mergeCell ref="F528:K528"/>
    <mergeCell ref="L528:M528"/>
    <mergeCell ref="AI528:AL528"/>
    <mergeCell ref="AN528:AQ528"/>
    <mergeCell ref="AT528:AV528"/>
    <mergeCell ref="AW528:AY528"/>
    <mergeCell ref="AT529:AV529"/>
    <mergeCell ref="AW529:AY529"/>
    <mergeCell ref="D530:G530"/>
    <mergeCell ref="H530:K530"/>
    <mergeCell ref="L530:O530"/>
    <mergeCell ref="P530:S530"/>
    <mergeCell ref="T530:W530"/>
    <mergeCell ref="X530:AA530"/>
    <mergeCell ref="AB530:AE530"/>
    <mergeCell ref="AF530:AI530"/>
    <mergeCell ref="AJ530:AM530"/>
    <mergeCell ref="AN530:AQ530"/>
    <mergeCell ref="A523:C523"/>
    <mergeCell ref="D523:G523"/>
    <mergeCell ref="H523:K523"/>
    <mergeCell ref="L523:O523"/>
    <mergeCell ref="P523:S523"/>
    <mergeCell ref="T523:W523"/>
    <mergeCell ref="X523:AA523"/>
    <mergeCell ref="AB523:AE523"/>
    <mergeCell ref="AF523:AI523"/>
    <mergeCell ref="AJ523:AM523"/>
    <mergeCell ref="AN523:AQ523"/>
    <mergeCell ref="D524:G524"/>
    <mergeCell ref="H524:K524"/>
    <mergeCell ref="L524:O524"/>
    <mergeCell ref="P524:S524"/>
    <mergeCell ref="T524:W524"/>
    <mergeCell ref="X524:AA524"/>
    <mergeCell ref="AB524:AE524"/>
    <mergeCell ref="AF524:AI524"/>
    <mergeCell ref="AJ524:AM524"/>
    <mergeCell ref="AN524:AQ524"/>
    <mergeCell ref="C519:E519"/>
    <mergeCell ref="F519:K519"/>
    <mergeCell ref="L519:M519"/>
    <mergeCell ref="AI519:AL519"/>
    <mergeCell ref="AN519:AQ519"/>
    <mergeCell ref="AT519:AY519"/>
    <mergeCell ref="C520:E520"/>
    <mergeCell ref="F520:K520"/>
    <mergeCell ref="L520:M520"/>
    <mergeCell ref="AI520:AL520"/>
    <mergeCell ref="AN520:AQ520"/>
    <mergeCell ref="AT520:AV520"/>
    <mergeCell ref="AW520:AY520"/>
    <mergeCell ref="AT521:AV521"/>
    <mergeCell ref="AW521:AY521"/>
    <mergeCell ref="D522:G522"/>
    <mergeCell ref="H522:K522"/>
    <mergeCell ref="L522:O522"/>
    <mergeCell ref="P522:S522"/>
    <mergeCell ref="T522:W522"/>
    <mergeCell ref="X522:AA522"/>
    <mergeCell ref="AB522:AE522"/>
    <mergeCell ref="AF522:AI522"/>
    <mergeCell ref="AJ522:AM522"/>
    <mergeCell ref="AN522:AQ522"/>
    <mergeCell ref="A515:C515"/>
    <mergeCell ref="D515:G515"/>
    <mergeCell ref="H515:K515"/>
    <mergeCell ref="L515:O515"/>
    <mergeCell ref="P515:S515"/>
    <mergeCell ref="T515:W515"/>
    <mergeCell ref="X515:AA515"/>
    <mergeCell ref="AB515:AE515"/>
    <mergeCell ref="AF515:AI515"/>
    <mergeCell ref="AJ515:AM515"/>
    <mergeCell ref="AN515:AQ515"/>
    <mergeCell ref="D516:G516"/>
    <mergeCell ref="H516:K516"/>
    <mergeCell ref="L516:O516"/>
    <mergeCell ref="P516:S516"/>
    <mergeCell ref="T516:W516"/>
    <mergeCell ref="X516:AA516"/>
    <mergeCell ref="AB516:AE516"/>
    <mergeCell ref="AF516:AI516"/>
    <mergeCell ref="AJ516:AM516"/>
    <mergeCell ref="AN516:AQ516"/>
    <mergeCell ref="C511:E511"/>
    <mergeCell ref="F511:K511"/>
    <mergeCell ref="L511:M511"/>
    <mergeCell ref="AI511:AL511"/>
    <mergeCell ref="AN511:AQ511"/>
    <mergeCell ref="AT511:AY511"/>
    <mergeCell ref="C512:E512"/>
    <mergeCell ref="F512:K512"/>
    <mergeCell ref="L512:M512"/>
    <mergeCell ref="AI512:AL512"/>
    <mergeCell ref="AN512:AQ512"/>
    <mergeCell ref="AT512:AV512"/>
    <mergeCell ref="AW512:AY512"/>
    <mergeCell ref="AT513:AV513"/>
    <mergeCell ref="AW513:AY513"/>
    <mergeCell ref="D514:G514"/>
    <mergeCell ref="H514:K514"/>
    <mergeCell ref="L514:O514"/>
    <mergeCell ref="P514:S514"/>
    <mergeCell ref="T514:W514"/>
    <mergeCell ref="X514:AA514"/>
    <mergeCell ref="AB514:AE514"/>
    <mergeCell ref="AF514:AI514"/>
    <mergeCell ref="AJ514:AM514"/>
    <mergeCell ref="AN514:AQ514"/>
    <mergeCell ref="AJ203:AM203"/>
    <mergeCell ref="AN203:AQ203"/>
    <mergeCell ref="D204:G204"/>
    <mergeCell ref="H204:K204"/>
    <mergeCell ref="L204:O204"/>
    <mergeCell ref="P204:S204"/>
    <mergeCell ref="T204:W204"/>
    <mergeCell ref="X204:AA204"/>
    <mergeCell ref="AB204:AE204"/>
    <mergeCell ref="AF204:AI204"/>
    <mergeCell ref="AJ204:AM204"/>
    <mergeCell ref="AN204:AQ204"/>
    <mergeCell ref="A203:C203"/>
    <mergeCell ref="D203:G203"/>
    <mergeCell ref="H203:K203"/>
    <mergeCell ref="L203:O203"/>
    <mergeCell ref="P203:S203"/>
    <mergeCell ref="T203:W203"/>
    <mergeCell ref="X203:AA203"/>
    <mergeCell ref="AB203:AE203"/>
    <mergeCell ref="AF203:AI203"/>
    <mergeCell ref="AT201:AV201"/>
    <mergeCell ref="AW201:AY201"/>
    <mergeCell ref="D202:G202"/>
    <mergeCell ref="H202:K202"/>
    <mergeCell ref="L202:O202"/>
    <mergeCell ref="P202:S202"/>
    <mergeCell ref="T202:W202"/>
    <mergeCell ref="X202:AA202"/>
    <mergeCell ref="AB202:AE202"/>
    <mergeCell ref="AF202:AI202"/>
    <mergeCell ref="AJ202:AM202"/>
    <mergeCell ref="AN202:AQ202"/>
    <mergeCell ref="C199:E199"/>
    <mergeCell ref="F199:K199"/>
    <mergeCell ref="L199:M199"/>
    <mergeCell ref="AI199:AL199"/>
    <mergeCell ref="AN199:AQ199"/>
    <mergeCell ref="AT199:AY199"/>
    <mergeCell ref="C200:E200"/>
    <mergeCell ref="F200:K200"/>
    <mergeCell ref="L200:M200"/>
    <mergeCell ref="AI200:AL200"/>
    <mergeCell ref="AN200:AQ200"/>
    <mergeCell ref="AT200:AV200"/>
    <mergeCell ref="AW200:AY200"/>
    <mergeCell ref="AJ195:AM195"/>
    <mergeCell ref="AN195:AQ195"/>
    <mergeCell ref="D196:G196"/>
    <mergeCell ref="H196:K196"/>
    <mergeCell ref="L196:O196"/>
    <mergeCell ref="P196:S196"/>
    <mergeCell ref="T196:W196"/>
    <mergeCell ref="X196:AA196"/>
    <mergeCell ref="AB196:AE196"/>
    <mergeCell ref="AF196:AI196"/>
    <mergeCell ref="AJ196:AM196"/>
    <mergeCell ref="AN196:AQ196"/>
    <mergeCell ref="A195:C195"/>
    <mergeCell ref="D195:G195"/>
    <mergeCell ref="H195:K195"/>
    <mergeCell ref="L195:O195"/>
    <mergeCell ref="P195:S195"/>
    <mergeCell ref="T195:W195"/>
    <mergeCell ref="X195:AA195"/>
    <mergeCell ref="AB195:AE195"/>
    <mergeCell ref="AF195:AI195"/>
    <mergeCell ref="AT193:AV193"/>
    <mergeCell ref="AW193:AY193"/>
    <mergeCell ref="D194:G194"/>
    <mergeCell ref="H194:K194"/>
    <mergeCell ref="L194:O194"/>
    <mergeCell ref="P194:S194"/>
    <mergeCell ref="T194:W194"/>
    <mergeCell ref="X194:AA194"/>
    <mergeCell ref="AB194:AE194"/>
    <mergeCell ref="AF194:AI194"/>
    <mergeCell ref="AJ194:AM194"/>
    <mergeCell ref="AN194:AQ194"/>
    <mergeCell ref="C191:E191"/>
    <mergeCell ref="F191:K191"/>
    <mergeCell ref="L191:M191"/>
    <mergeCell ref="AI191:AL191"/>
    <mergeCell ref="AN191:AQ191"/>
    <mergeCell ref="AT191:AY191"/>
    <mergeCell ref="C192:E192"/>
    <mergeCell ref="F192:K192"/>
    <mergeCell ref="L192:M192"/>
    <mergeCell ref="AI192:AL192"/>
    <mergeCell ref="AN192:AQ192"/>
    <mergeCell ref="AT192:AV192"/>
    <mergeCell ref="AW192:AY192"/>
    <mergeCell ref="AJ187:AM187"/>
    <mergeCell ref="AN187:AQ187"/>
    <mergeCell ref="D188:G188"/>
    <mergeCell ref="H188:K188"/>
    <mergeCell ref="L188:O188"/>
    <mergeCell ref="P188:S188"/>
    <mergeCell ref="T188:W188"/>
    <mergeCell ref="X188:AA188"/>
    <mergeCell ref="AB188:AE188"/>
    <mergeCell ref="AF188:AI188"/>
    <mergeCell ref="AJ188:AM188"/>
    <mergeCell ref="AN188:AQ188"/>
    <mergeCell ref="A187:C187"/>
    <mergeCell ref="D187:G187"/>
    <mergeCell ref="H187:K187"/>
    <mergeCell ref="L187:O187"/>
    <mergeCell ref="P187:S187"/>
    <mergeCell ref="T187:W187"/>
    <mergeCell ref="X187:AA187"/>
    <mergeCell ref="AB187:AE187"/>
    <mergeCell ref="AF187:AI187"/>
    <mergeCell ref="AT185:AV185"/>
    <mergeCell ref="AW185:AY185"/>
    <mergeCell ref="D186:G186"/>
    <mergeCell ref="H186:K186"/>
    <mergeCell ref="L186:O186"/>
    <mergeCell ref="P186:S186"/>
    <mergeCell ref="T186:W186"/>
    <mergeCell ref="X186:AA186"/>
    <mergeCell ref="AB186:AE186"/>
    <mergeCell ref="AF186:AI186"/>
    <mergeCell ref="AJ186:AM186"/>
    <mergeCell ref="AN186:AQ186"/>
    <mergeCell ref="AN180:AQ180"/>
    <mergeCell ref="C183:E183"/>
    <mergeCell ref="F183:K183"/>
    <mergeCell ref="L183:M183"/>
    <mergeCell ref="AI183:AL183"/>
    <mergeCell ref="AN183:AQ183"/>
    <mergeCell ref="AT183:AY183"/>
    <mergeCell ref="C184:E184"/>
    <mergeCell ref="F184:K184"/>
    <mergeCell ref="L184:M184"/>
    <mergeCell ref="AI184:AL184"/>
    <mergeCell ref="AN184:AQ184"/>
    <mergeCell ref="AT184:AV184"/>
    <mergeCell ref="AW184:AY184"/>
    <mergeCell ref="D180:G180"/>
    <mergeCell ref="H180:K180"/>
    <mergeCell ref="L180:O180"/>
    <mergeCell ref="P180:S180"/>
    <mergeCell ref="T180:W180"/>
    <mergeCell ref="X180:AA180"/>
    <mergeCell ref="AB180:AE180"/>
    <mergeCell ref="AF180:AI180"/>
    <mergeCell ref="AJ180:AM180"/>
    <mergeCell ref="AN178:AQ178"/>
    <mergeCell ref="A179:C179"/>
    <mergeCell ref="D179:G179"/>
    <mergeCell ref="H179:K179"/>
    <mergeCell ref="L179:O179"/>
    <mergeCell ref="P179:S179"/>
    <mergeCell ref="T179:W179"/>
    <mergeCell ref="X179:AA179"/>
    <mergeCell ref="AB179:AE179"/>
    <mergeCell ref="AF179:AI179"/>
    <mergeCell ref="AJ179:AM179"/>
    <mergeCell ref="AN179:AQ179"/>
    <mergeCell ref="D178:G178"/>
    <mergeCell ref="H178:K178"/>
    <mergeCell ref="L178:O178"/>
    <mergeCell ref="P178:S178"/>
    <mergeCell ref="T178:W178"/>
    <mergeCell ref="X178:AA178"/>
    <mergeCell ref="AB178:AE178"/>
    <mergeCell ref="AF178:AI178"/>
    <mergeCell ref="AJ178:AM178"/>
    <mergeCell ref="AT175:AY175"/>
    <mergeCell ref="C176:E176"/>
    <mergeCell ref="F176:K176"/>
    <mergeCell ref="L176:M176"/>
    <mergeCell ref="AI176:AL176"/>
    <mergeCell ref="AN176:AQ176"/>
    <mergeCell ref="AT176:AV176"/>
    <mergeCell ref="AW176:AY176"/>
    <mergeCell ref="AT177:AV177"/>
    <mergeCell ref="AW177:AY177"/>
    <mergeCell ref="L172:O172"/>
    <mergeCell ref="P172:S172"/>
    <mergeCell ref="T172:W172"/>
    <mergeCell ref="X172:AA172"/>
    <mergeCell ref="AB172:AE172"/>
    <mergeCell ref="AF172:AI172"/>
    <mergeCell ref="AJ172:AM172"/>
    <mergeCell ref="AN172:AQ172"/>
    <mergeCell ref="C175:E175"/>
    <mergeCell ref="F175:K175"/>
    <mergeCell ref="L175:M175"/>
    <mergeCell ref="AI175:AL175"/>
    <mergeCell ref="AN175:AQ175"/>
    <mergeCell ref="D172:G172"/>
    <mergeCell ref="H172:K172"/>
    <mergeCell ref="AT168:AV168"/>
    <mergeCell ref="AW168:AY168"/>
    <mergeCell ref="AT169:AV169"/>
    <mergeCell ref="AW169:AY169"/>
    <mergeCell ref="D170:G170"/>
    <mergeCell ref="H170:K170"/>
    <mergeCell ref="L170:O170"/>
    <mergeCell ref="P170:S170"/>
    <mergeCell ref="T170:W170"/>
    <mergeCell ref="X170:AA170"/>
    <mergeCell ref="AB170:AE170"/>
    <mergeCell ref="AF170:AI170"/>
    <mergeCell ref="AJ170:AM170"/>
    <mergeCell ref="AN170:AQ170"/>
    <mergeCell ref="D171:G171"/>
    <mergeCell ref="H171:K171"/>
    <mergeCell ref="L171:O171"/>
    <mergeCell ref="P171:S171"/>
    <mergeCell ref="T171:W171"/>
    <mergeCell ref="X171:AA171"/>
    <mergeCell ref="AB171:AE171"/>
    <mergeCell ref="AF171:AI171"/>
    <mergeCell ref="AJ171:AM171"/>
    <mergeCell ref="AN171:AQ171"/>
    <mergeCell ref="A171:C171"/>
    <mergeCell ref="C167:E167"/>
    <mergeCell ref="F167:K167"/>
    <mergeCell ref="L167:M167"/>
    <mergeCell ref="AI167:AL167"/>
    <mergeCell ref="AN167:AQ167"/>
    <mergeCell ref="AT167:AY167"/>
    <mergeCell ref="C168:E168"/>
    <mergeCell ref="F168:K168"/>
    <mergeCell ref="L168:M168"/>
    <mergeCell ref="AI168:AL168"/>
    <mergeCell ref="AN168:AQ168"/>
    <mergeCell ref="AT160:AV160"/>
    <mergeCell ref="AT143:AY143"/>
    <mergeCell ref="AT151:AY151"/>
    <mergeCell ref="AT159:AY159"/>
    <mergeCell ref="AT136:AV136"/>
    <mergeCell ref="AW136:AY136"/>
    <mergeCell ref="AT137:AV137"/>
    <mergeCell ref="AW137:AY137"/>
    <mergeCell ref="AT144:AV144"/>
    <mergeCell ref="AW144:AY144"/>
    <mergeCell ref="AT145:AV145"/>
    <mergeCell ref="AW145:AY145"/>
    <mergeCell ref="AT152:AV152"/>
    <mergeCell ref="AW152:AY152"/>
    <mergeCell ref="AT153:AV153"/>
    <mergeCell ref="AW153:AY153"/>
    <mergeCell ref="AW160:AY160"/>
    <mergeCell ref="AN138:AQ138"/>
    <mergeCell ref="A139:C139"/>
    <mergeCell ref="D139:G139"/>
    <mergeCell ref="AT119:AY119"/>
    <mergeCell ref="AT127:AY127"/>
    <mergeCell ref="AT135:AY135"/>
    <mergeCell ref="AT112:AV112"/>
    <mergeCell ref="AW112:AY112"/>
    <mergeCell ref="AT113:AV113"/>
    <mergeCell ref="AW113:AY113"/>
    <mergeCell ref="AT120:AV120"/>
    <mergeCell ref="AW120:AY120"/>
    <mergeCell ref="AT121:AV121"/>
    <mergeCell ref="AW121:AY121"/>
    <mergeCell ref="AT128:AV128"/>
    <mergeCell ref="AW128:AY128"/>
    <mergeCell ref="AT129:AV129"/>
    <mergeCell ref="AW129:AY129"/>
    <mergeCell ref="AT95:AY95"/>
    <mergeCell ref="AT103:AY103"/>
    <mergeCell ref="AT111:AY111"/>
    <mergeCell ref="AT88:AV88"/>
    <mergeCell ref="AW88:AY88"/>
    <mergeCell ref="AT89:AV89"/>
    <mergeCell ref="AW89:AY89"/>
    <mergeCell ref="AT96:AV96"/>
    <mergeCell ref="AW96:AY96"/>
    <mergeCell ref="AT97:AV97"/>
    <mergeCell ref="AW97:AY97"/>
    <mergeCell ref="AT104:AV104"/>
    <mergeCell ref="AW104:AY104"/>
    <mergeCell ref="AT105:AV105"/>
    <mergeCell ref="AW105:AY105"/>
    <mergeCell ref="AT57:AV57"/>
    <mergeCell ref="AW57:AY57"/>
    <mergeCell ref="AT71:AY71"/>
    <mergeCell ref="AT79:AY79"/>
    <mergeCell ref="AT87:AY87"/>
    <mergeCell ref="AT64:AV64"/>
    <mergeCell ref="AW64:AY64"/>
    <mergeCell ref="AT65:AV65"/>
    <mergeCell ref="AW65:AY65"/>
    <mergeCell ref="AT72:AV72"/>
    <mergeCell ref="AW72:AY72"/>
    <mergeCell ref="AT73:AV73"/>
    <mergeCell ref="AW73:AY73"/>
    <mergeCell ref="AT80:AV80"/>
    <mergeCell ref="AW80:AY80"/>
    <mergeCell ref="AT81:AV81"/>
    <mergeCell ref="AW81:AY81"/>
    <mergeCell ref="AT40:AV40"/>
    <mergeCell ref="AW40:AY40"/>
    <mergeCell ref="AT41:AV41"/>
    <mergeCell ref="AW41:AY41"/>
    <mergeCell ref="AT48:AV48"/>
    <mergeCell ref="AW48:AY48"/>
    <mergeCell ref="AT49:AV49"/>
    <mergeCell ref="AW49:AY49"/>
    <mergeCell ref="AT56:AV56"/>
    <mergeCell ref="AW56:AY56"/>
    <mergeCell ref="C7:E7"/>
    <mergeCell ref="F7:K7"/>
    <mergeCell ref="L7:M7"/>
    <mergeCell ref="AI7:AL7"/>
    <mergeCell ref="AN7:AQ7"/>
    <mergeCell ref="AT7:AY7"/>
    <mergeCell ref="AT15:AY15"/>
    <mergeCell ref="C8:E8"/>
    <mergeCell ref="F8:K8"/>
    <mergeCell ref="L8:M8"/>
    <mergeCell ref="AI8:AL8"/>
    <mergeCell ref="AN8:AQ8"/>
    <mergeCell ref="AB10:AE10"/>
    <mergeCell ref="AF10:AI10"/>
    <mergeCell ref="AJ10:AM10"/>
    <mergeCell ref="AN10:AQ10"/>
    <mergeCell ref="D11:G11"/>
    <mergeCell ref="H11:K11"/>
    <mergeCell ref="L11:O11"/>
    <mergeCell ref="P11:S11"/>
    <mergeCell ref="T11:W11"/>
    <mergeCell ref="D10:G10"/>
    <mergeCell ref="T10:W10"/>
    <mergeCell ref="X10:AA10"/>
    <mergeCell ref="X11:AA11"/>
    <mergeCell ref="AB11:AE11"/>
    <mergeCell ref="AF11:AI11"/>
    <mergeCell ref="AJ11:AM11"/>
    <mergeCell ref="AN11:AQ11"/>
    <mergeCell ref="AN12:AQ12"/>
    <mergeCell ref="C15:E15"/>
    <mergeCell ref="F15:K15"/>
    <mergeCell ref="L15:M15"/>
    <mergeCell ref="AI15:AL15"/>
    <mergeCell ref="AN15:AQ15"/>
    <mergeCell ref="C16:E16"/>
    <mergeCell ref="F16:K16"/>
    <mergeCell ref="L16:M16"/>
    <mergeCell ref="AI16:AL16"/>
    <mergeCell ref="AN16:AQ16"/>
    <mergeCell ref="D12:G12"/>
    <mergeCell ref="H12:K12"/>
    <mergeCell ref="L12:O12"/>
    <mergeCell ref="P12:S12"/>
    <mergeCell ref="T12:W12"/>
    <mergeCell ref="X12:AA12"/>
    <mergeCell ref="AB12:AE12"/>
    <mergeCell ref="AF12:AI12"/>
    <mergeCell ref="AJ12:AM12"/>
    <mergeCell ref="AN18:AQ18"/>
    <mergeCell ref="D19:G19"/>
    <mergeCell ref="H19:K19"/>
    <mergeCell ref="L19:O19"/>
    <mergeCell ref="P19:S19"/>
    <mergeCell ref="T19:W19"/>
    <mergeCell ref="X19:AA19"/>
    <mergeCell ref="AB19:AE19"/>
    <mergeCell ref="AF19:AI19"/>
    <mergeCell ref="AJ19:AM19"/>
    <mergeCell ref="AN19:AQ19"/>
    <mergeCell ref="D18:G18"/>
    <mergeCell ref="H18:K18"/>
    <mergeCell ref="L18:O18"/>
    <mergeCell ref="P18:S18"/>
    <mergeCell ref="T18:W18"/>
    <mergeCell ref="X18:AA18"/>
    <mergeCell ref="AB18:AE18"/>
    <mergeCell ref="AF18:AI18"/>
    <mergeCell ref="AJ18:AM18"/>
    <mergeCell ref="AF26:AI26"/>
    <mergeCell ref="AJ26:AM26"/>
    <mergeCell ref="AN20:AQ20"/>
    <mergeCell ref="C23:E23"/>
    <mergeCell ref="F23:K23"/>
    <mergeCell ref="L23:M23"/>
    <mergeCell ref="AI23:AL23"/>
    <mergeCell ref="AN23:AQ23"/>
    <mergeCell ref="C24:E24"/>
    <mergeCell ref="F24:K24"/>
    <mergeCell ref="L24:M24"/>
    <mergeCell ref="AI24:AL24"/>
    <mergeCell ref="AN24:AQ24"/>
    <mergeCell ref="D20:G20"/>
    <mergeCell ref="H20:K20"/>
    <mergeCell ref="L20:O20"/>
    <mergeCell ref="P20:S20"/>
    <mergeCell ref="T20:W20"/>
    <mergeCell ref="X20:AA20"/>
    <mergeCell ref="AB20:AE20"/>
    <mergeCell ref="AF20:AI20"/>
    <mergeCell ref="AJ20:AM20"/>
    <mergeCell ref="C32:E32"/>
    <mergeCell ref="F32:K32"/>
    <mergeCell ref="L32:M32"/>
    <mergeCell ref="AI32:AL32"/>
    <mergeCell ref="AN32:AQ32"/>
    <mergeCell ref="D28:G28"/>
    <mergeCell ref="H28:K28"/>
    <mergeCell ref="L28:O28"/>
    <mergeCell ref="P28:S28"/>
    <mergeCell ref="T28:W28"/>
    <mergeCell ref="X28:AA28"/>
    <mergeCell ref="AB28:AE28"/>
    <mergeCell ref="AF28:AI28"/>
    <mergeCell ref="AJ28:AM28"/>
    <mergeCell ref="AN26:AQ26"/>
    <mergeCell ref="D27:G27"/>
    <mergeCell ref="H27:K27"/>
    <mergeCell ref="L27:O27"/>
    <mergeCell ref="P27:S27"/>
    <mergeCell ref="T27:W27"/>
    <mergeCell ref="X27:AA27"/>
    <mergeCell ref="AB27:AE27"/>
    <mergeCell ref="AF27:AI27"/>
    <mergeCell ref="AJ27:AM27"/>
    <mergeCell ref="AN27:AQ27"/>
    <mergeCell ref="D26:G26"/>
    <mergeCell ref="H26:K26"/>
    <mergeCell ref="L26:O26"/>
    <mergeCell ref="P26:S26"/>
    <mergeCell ref="T26:W26"/>
    <mergeCell ref="X26:AA26"/>
    <mergeCell ref="AB26:AE26"/>
    <mergeCell ref="AN44:AQ44"/>
    <mergeCell ref="X43:AA43"/>
    <mergeCell ref="AB43:AE43"/>
    <mergeCell ref="AF43:AI43"/>
    <mergeCell ref="AJ43:AM43"/>
    <mergeCell ref="AN43:AQ43"/>
    <mergeCell ref="AN34:AQ34"/>
    <mergeCell ref="D35:G35"/>
    <mergeCell ref="H35:K35"/>
    <mergeCell ref="L35:O35"/>
    <mergeCell ref="P35:S35"/>
    <mergeCell ref="T35:W35"/>
    <mergeCell ref="X35:AA35"/>
    <mergeCell ref="AB35:AE35"/>
    <mergeCell ref="AF35:AI35"/>
    <mergeCell ref="AJ35:AM35"/>
    <mergeCell ref="AN35:AQ35"/>
    <mergeCell ref="D34:G34"/>
    <mergeCell ref="H34:K34"/>
    <mergeCell ref="L34:O34"/>
    <mergeCell ref="P34:S34"/>
    <mergeCell ref="T34:W34"/>
    <mergeCell ref="X34:AA34"/>
    <mergeCell ref="AB34:AE34"/>
    <mergeCell ref="AF34:AI34"/>
    <mergeCell ref="AJ34:AM34"/>
    <mergeCell ref="AN36:AQ36"/>
    <mergeCell ref="C39:E39"/>
    <mergeCell ref="F39:K39"/>
    <mergeCell ref="L39:M39"/>
    <mergeCell ref="AI39:AL39"/>
    <mergeCell ref="AN39:AQ39"/>
    <mergeCell ref="AN42:AQ42"/>
    <mergeCell ref="D43:G43"/>
    <mergeCell ref="H43:K43"/>
    <mergeCell ref="L43:O43"/>
    <mergeCell ref="P43:S43"/>
    <mergeCell ref="T43:W43"/>
    <mergeCell ref="C40:E40"/>
    <mergeCell ref="F40:K40"/>
    <mergeCell ref="L40:M40"/>
    <mergeCell ref="AI40:AL40"/>
    <mergeCell ref="AN40:AQ40"/>
    <mergeCell ref="D42:G42"/>
    <mergeCell ref="H42:K42"/>
    <mergeCell ref="L42:O42"/>
    <mergeCell ref="P42:S42"/>
    <mergeCell ref="T42:W42"/>
    <mergeCell ref="Q6:Y6"/>
    <mergeCell ref="AA6:AE6"/>
    <mergeCell ref="A11:C11"/>
    <mergeCell ref="A19:C19"/>
    <mergeCell ref="A27:C27"/>
    <mergeCell ref="A35:C35"/>
    <mergeCell ref="A43:C43"/>
    <mergeCell ref="H10:K10"/>
    <mergeCell ref="L10:O10"/>
    <mergeCell ref="P10:S10"/>
    <mergeCell ref="AN28:AQ28"/>
    <mergeCell ref="C31:E31"/>
    <mergeCell ref="F31:K31"/>
    <mergeCell ref="L31:M31"/>
    <mergeCell ref="AI31:AL31"/>
    <mergeCell ref="AN31:AQ31"/>
    <mergeCell ref="D44:G44"/>
    <mergeCell ref="H44:K44"/>
    <mergeCell ref="L44:O44"/>
    <mergeCell ref="P44:S44"/>
    <mergeCell ref="T44:W44"/>
    <mergeCell ref="X42:AA42"/>
    <mergeCell ref="AB42:AE42"/>
    <mergeCell ref="AF42:AI42"/>
    <mergeCell ref="AJ42:AM42"/>
    <mergeCell ref="X44:AA44"/>
    <mergeCell ref="AB44:AE44"/>
    <mergeCell ref="D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F44:AI44"/>
    <mergeCell ref="AJ44:AM44"/>
    <mergeCell ref="C47:E47"/>
    <mergeCell ref="F47:K47"/>
    <mergeCell ref="L47:M47"/>
    <mergeCell ref="AI47:AL47"/>
    <mergeCell ref="AN47:AQ47"/>
    <mergeCell ref="C48:E48"/>
    <mergeCell ref="F48:K48"/>
    <mergeCell ref="L48:M48"/>
    <mergeCell ref="AI48:AL48"/>
    <mergeCell ref="AN48:AQ48"/>
    <mergeCell ref="AN50:AQ50"/>
    <mergeCell ref="A51:C51"/>
    <mergeCell ref="D51:G51"/>
    <mergeCell ref="H51:K51"/>
    <mergeCell ref="L51:O51"/>
    <mergeCell ref="P51:S51"/>
    <mergeCell ref="T51:W51"/>
    <mergeCell ref="X51:AA51"/>
    <mergeCell ref="AB51:AE51"/>
    <mergeCell ref="AF51:AI51"/>
    <mergeCell ref="AJ51:AM51"/>
    <mergeCell ref="AN51:AQ51"/>
    <mergeCell ref="D50:G50"/>
    <mergeCell ref="H50:K50"/>
    <mergeCell ref="L50:O50"/>
    <mergeCell ref="P50:S50"/>
    <mergeCell ref="T50:W50"/>
    <mergeCell ref="X50:AA50"/>
    <mergeCell ref="AB50:AE50"/>
    <mergeCell ref="AF50:AI50"/>
    <mergeCell ref="AJ50:AM50"/>
    <mergeCell ref="AN52:AQ52"/>
    <mergeCell ref="C55:E55"/>
    <mergeCell ref="F55:K55"/>
    <mergeCell ref="L55:M55"/>
    <mergeCell ref="AI55:AL55"/>
    <mergeCell ref="AN55:AQ55"/>
    <mergeCell ref="C56:E56"/>
    <mergeCell ref="F56:K56"/>
    <mergeCell ref="L56:M56"/>
    <mergeCell ref="AI56:AL56"/>
    <mergeCell ref="AN56:AQ56"/>
    <mergeCell ref="D52:G52"/>
    <mergeCell ref="H52:K52"/>
    <mergeCell ref="L52:O52"/>
    <mergeCell ref="P52:S52"/>
    <mergeCell ref="T52:W52"/>
    <mergeCell ref="X52:AA52"/>
    <mergeCell ref="AB52:AE52"/>
    <mergeCell ref="AF52:AI52"/>
    <mergeCell ref="AJ52:AM52"/>
    <mergeCell ref="AN58:AQ58"/>
    <mergeCell ref="A59:C59"/>
    <mergeCell ref="D59:G59"/>
    <mergeCell ref="H59:K59"/>
    <mergeCell ref="L59:O59"/>
    <mergeCell ref="P59:S59"/>
    <mergeCell ref="T59:W59"/>
    <mergeCell ref="X59:AA59"/>
    <mergeCell ref="AB59:AE59"/>
    <mergeCell ref="AF59:AI59"/>
    <mergeCell ref="AJ59:AM59"/>
    <mergeCell ref="AN59:AQ59"/>
    <mergeCell ref="D58:G58"/>
    <mergeCell ref="H58:K58"/>
    <mergeCell ref="L58:O58"/>
    <mergeCell ref="P58:S58"/>
    <mergeCell ref="T58:W58"/>
    <mergeCell ref="X58:AA58"/>
    <mergeCell ref="AB58:AE58"/>
    <mergeCell ref="AF58:AI58"/>
    <mergeCell ref="AJ58:AM58"/>
    <mergeCell ref="AN60:AQ60"/>
    <mergeCell ref="C63:E63"/>
    <mergeCell ref="F63:K63"/>
    <mergeCell ref="L63:M63"/>
    <mergeCell ref="AI63:AL63"/>
    <mergeCell ref="AN63:AQ63"/>
    <mergeCell ref="C64:E64"/>
    <mergeCell ref="F64:K64"/>
    <mergeCell ref="L64:M64"/>
    <mergeCell ref="AI64:AL64"/>
    <mergeCell ref="AN64:AQ64"/>
    <mergeCell ref="D60:G60"/>
    <mergeCell ref="H60:K60"/>
    <mergeCell ref="L60:O60"/>
    <mergeCell ref="P60:S60"/>
    <mergeCell ref="T60:W60"/>
    <mergeCell ref="X60:AA60"/>
    <mergeCell ref="AB60:AE60"/>
    <mergeCell ref="AF60:AI60"/>
    <mergeCell ref="AJ60:AM60"/>
    <mergeCell ref="AN66:AQ66"/>
    <mergeCell ref="A67:C67"/>
    <mergeCell ref="D67:G67"/>
    <mergeCell ref="H67:K67"/>
    <mergeCell ref="L67:O67"/>
    <mergeCell ref="P67:S67"/>
    <mergeCell ref="T67:W67"/>
    <mergeCell ref="X67:AA67"/>
    <mergeCell ref="AB67:AE67"/>
    <mergeCell ref="AF67:AI67"/>
    <mergeCell ref="AJ67:AM67"/>
    <mergeCell ref="AN67:AQ67"/>
    <mergeCell ref="D66:G66"/>
    <mergeCell ref="H66:K66"/>
    <mergeCell ref="L66:O66"/>
    <mergeCell ref="P66:S66"/>
    <mergeCell ref="T66:W66"/>
    <mergeCell ref="X66:AA66"/>
    <mergeCell ref="AB66:AE66"/>
    <mergeCell ref="AF66:AI66"/>
    <mergeCell ref="AJ66:AM66"/>
    <mergeCell ref="AN68:AQ68"/>
    <mergeCell ref="C71:E71"/>
    <mergeCell ref="F71:K71"/>
    <mergeCell ref="L71:M71"/>
    <mergeCell ref="AI71:AL71"/>
    <mergeCell ref="AN71:AQ71"/>
    <mergeCell ref="C72:E72"/>
    <mergeCell ref="F72:K72"/>
    <mergeCell ref="L72:M72"/>
    <mergeCell ref="AI72:AL72"/>
    <mergeCell ref="AN72:AQ72"/>
    <mergeCell ref="D68:G68"/>
    <mergeCell ref="H68:K68"/>
    <mergeCell ref="L68:O68"/>
    <mergeCell ref="P68:S68"/>
    <mergeCell ref="T68:W68"/>
    <mergeCell ref="X68:AA68"/>
    <mergeCell ref="AB68:AE68"/>
    <mergeCell ref="AF68:AI68"/>
    <mergeCell ref="AJ68:AM68"/>
    <mergeCell ref="AN74:AQ74"/>
    <mergeCell ref="A75:C75"/>
    <mergeCell ref="D75:G75"/>
    <mergeCell ref="H75:K75"/>
    <mergeCell ref="L75:O75"/>
    <mergeCell ref="P75:S75"/>
    <mergeCell ref="T75:W75"/>
    <mergeCell ref="X75:AA75"/>
    <mergeCell ref="AB75:AE75"/>
    <mergeCell ref="AF75:AI75"/>
    <mergeCell ref="AJ75:AM75"/>
    <mergeCell ref="AN75:AQ75"/>
    <mergeCell ref="D74:G74"/>
    <mergeCell ref="H74:K74"/>
    <mergeCell ref="L74:O74"/>
    <mergeCell ref="P74:S74"/>
    <mergeCell ref="T74:W74"/>
    <mergeCell ref="X74:AA74"/>
    <mergeCell ref="AB74:AE74"/>
    <mergeCell ref="AF74:AI74"/>
    <mergeCell ref="AJ74:AM74"/>
    <mergeCell ref="AN76:AQ76"/>
    <mergeCell ref="C79:E79"/>
    <mergeCell ref="F79:K79"/>
    <mergeCell ref="L79:M79"/>
    <mergeCell ref="AI79:AL79"/>
    <mergeCell ref="AN79:AQ79"/>
    <mergeCell ref="C80:E80"/>
    <mergeCell ref="F80:K80"/>
    <mergeCell ref="L80:M80"/>
    <mergeCell ref="AI80:AL80"/>
    <mergeCell ref="AN80:AQ80"/>
    <mergeCell ref="D76:G76"/>
    <mergeCell ref="H76:K76"/>
    <mergeCell ref="L76:O76"/>
    <mergeCell ref="P76:S76"/>
    <mergeCell ref="T76:W76"/>
    <mergeCell ref="X76:AA76"/>
    <mergeCell ref="AB76:AE76"/>
    <mergeCell ref="AF76:AI76"/>
    <mergeCell ref="AJ76:AM76"/>
    <mergeCell ref="AN82:AQ82"/>
    <mergeCell ref="A83:C83"/>
    <mergeCell ref="D83:G83"/>
    <mergeCell ref="H83:K83"/>
    <mergeCell ref="L83:O83"/>
    <mergeCell ref="P83:S83"/>
    <mergeCell ref="T83:W83"/>
    <mergeCell ref="X83:AA83"/>
    <mergeCell ref="AB83:AE83"/>
    <mergeCell ref="AF83:AI83"/>
    <mergeCell ref="AJ83:AM83"/>
    <mergeCell ref="AN83:AQ83"/>
    <mergeCell ref="D82:G82"/>
    <mergeCell ref="H82:K82"/>
    <mergeCell ref="L82:O82"/>
    <mergeCell ref="P82:S82"/>
    <mergeCell ref="T82:W82"/>
    <mergeCell ref="X82:AA82"/>
    <mergeCell ref="AB82:AE82"/>
    <mergeCell ref="AF82:AI82"/>
    <mergeCell ref="AJ82:AM82"/>
    <mergeCell ref="AN84:AQ84"/>
    <mergeCell ref="C87:E87"/>
    <mergeCell ref="F87:K87"/>
    <mergeCell ref="L87:M87"/>
    <mergeCell ref="AI87:AL87"/>
    <mergeCell ref="AN87:AQ87"/>
    <mergeCell ref="C88:E88"/>
    <mergeCell ref="F88:K88"/>
    <mergeCell ref="L88:M88"/>
    <mergeCell ref="AI88:AL88"/>
    <mergeCell ref="AN88:AQ88"/>
    <mergeCell ref="D84:G84"/>
    <mergeCell ref="H84:K84"/>
    <mergeCell ref="L84:O84"/>
    <mergeCell ref="P84:S84"/>
    <mergeCell ref="T84:W84"/>
    <mergeCell ref="X84:AA84"/>
    <mergeCell ref="AB84:AE84"/>
    <mergeCell ref="AF84:AI84"/>
    <mergeCell ref="AJ84:AM84"/>
    <mergeCell ref="AN90:AQ90"/>
    <mergeCell ref="A91:C91"/>
    <mergeCell ref="D91:G91"/>
    <mergeCell ref="H91:K91"/>
    <mergeCell ref="L91:O91"/>
    <mergeCell ref="P91:S91"/>
    <mergeCell ref="T91:W91"/>
    <mergeCell ref="X91:AA91"/>
    <mergeCell ref="AB91:AE91"/>
    <mergeCell ref="AF91:AI91"/>
    <mergeCell ref="AJ91:AM91"/>
    <mergeCell ref="AN91:AQ91"/>
    <mergeCell ref="D90:G90"/>
    <mergeCell ref="H90:K90"/>
    <mergeCell ref="L90:O90"/>
    <mergeCell ref="P90:S90"/>
    <mergeCell ref="T90:W90"/>
    <mergeCell ref="X90:AA90"/>
    <mergeCell ref="AB90:AE90"/>
    <mergeCell ref="AF90:AI90"/>
    <mergeCell ref="AJ90:AM90"/>
    <mergeCell ref="AN92:AQ92"/>
    <mergeCell ref="C95:E95"/>
    <mergeCell ref="F95:K95"/>
    <mergeCell ref="L95:M95"/>
    <mergeCell ref="AI95:AL95"/>
    <mergeCell ref="AN95:AQ95"/>
    <mergeCell ref="C96:E96"/>
    <mergeCell ref="F96:K96"/>
    <mergeCell ref="L96:M96"/>
    <mergeCell ref="AI96:AL96"/>
    <mergeCell ref="AN96:AQ96"/>
    <mergeCell ref="D92:G92"/>
    <mergeCell ref="H92:K92"/>
    <mergeCell ref="L92:O92"/>
    <mergeCell ref="P92:S92"/>
    <mergeCell ref="T92:W92"/>
    <mergeCell ref="X92:AA92"/>
    <mergeCell ref="AB92:AE92"/>
    <mergeCell ref="AF92:AI92"/>
    <mergeCell ref="AJ92:AM92"/>
    <mergeCell ref="AN98:AQ98"/>
    <mergeCell ref="A99:C99"/>
    <mergeCell ref="D99:G99"/>
    <mergeCell ref="H99:K99"/>
    <mergeCell ref="L99:O99"/>
    <mergeCell ref="P99:S99"/>
    <mergeCell ref="T99:W99"/>
    <mergeCell ref="X99:AA99"/>
    <mergeCell ref="AB99:AE99"/>
    <mergeCell ref="AF99:AI99"/>
    <mergeCell ref="AJ99:AM99"/>
    <mergeCell ref="AN99:AQ99"/>
    <mergeCell ref="D98:G98"/>
    <mergeCell ref="H98:K98"/>
    <mergeCell ref="L98:O98"/>
    <mergeCell ref="P98:S98"/>
    <mergeCell ref="T98:W98"/>
    <mergeCell ref="X98:AA98"/>
    <mergeCell ref="AB98:AE98"/>
    <mergeCell ref="AF98:AI98"/>
    <mergeCell ref="AJ98:AM98"/>
    <mergeCell ref="AN100:AQ100"/>
    <mergeCell ref="C103:E103"/>
    <mergeCell ref="F103:K103"/>
    <mergeCell ref="L103:M103"/>
    <mergeCell ref="AI103:AL103"/>
    <mergeCell ref="AN103:AQ103"/>
    <mergeCell ref="C104:E104"/>
    <mergeCell ref="F104:K104"/>
    <mergeCell ref="L104:M104"/>
    <mergeCell ref="AI104:AL104"/>
    <mergeCell ref="AN104:AQ104"/>
    <mergeCell ref="D100:G100"/>
    <mergeCell ref="H100:K100"/>
    <mergeCell ref="L100:O100"/>
    <mergeCell ref="P100:S100"/>
    <mergeCell ref="T100:W100"/>
    <mergeCell ref="X100:AA100"/>
    <mergeCell ref="AB100:AE100"/>
    <mergeCell ref="AF100:AI100"/>
    <mergeCell ref="AJ100:AM100"/>
    <mergeCell ref="AN106:AQ106"/>
    <mergeCell ref="A107:C107"/>
    <mergeCell ref="D107:G107"/>
    <mergeCell ref="H107:K107"/>
    <mergeCell ref="L107:O107"/>
    <mergeCell ref="P107:S107"/>
    <mergeCell ref="T107:W107"/>
    <mergeCell ref="X107:AA107"/>
    <mergeCell ref="AB107:AE107"/>
    <mergeCell ref="AF107:AI107"/>
    <mergeCell ref="AJ107:AM107"/>
    <mergeCell ref="AN107:AQ107"/>
    <mergeCell ref="D106:G106"/>
    <mergeCell ref="H106:K106"/>
    <mergeCell ref="L106:O106"/>
    <mergeCell ref="P106:S106"/>
    <mergeCell ref="T106:W106"/>
    <mergeCell ref="X106:AA106"/>
    <mergeCell ref="AB106:AE106"/>
    <mergeCell ref="AF106:AI106"/>
    <mergeCell ref="AJ106:AM106"/>
    <mergeCell ref="AN108:AQ108"/>
    <mergeCell ref="C111:E111"/>
    <mergeCell ref="F111:K111"/>
    <mergeCell ref="L111:M111"/>
    <mergeCell ref="AI111:AL111"/>
    <mergeCell ref="AN111:AQ111"/>
    <mergeCell ref="C112:E112"/>
    <mergeCell ref="F112:K112"/>
    <mergeCell ref="L112:M112"/>
    <mergeCell ref="AI112:AL112"/>
    <mergeCell ref="AN112:AQ112"/>
    <mergeCell ref="D108:G108"/>
    <mergeCell ref="H108:K108"/>
    <mergeCell ref="L108:O108"/>
    <mergeCell ref="P108:S108"/>
    <mergeCell ref="T108:W108"/>
    <mergeCell ref="X108:AA108"/>
    <mergeCell ref="AB108:AE108"/>
    <mergeCell ref="AF108:AI108"/>
    <mergeCell ref="AJ108:AM108"/>
    <mergeCell ref="AN114:AQ114"/>
    <mergeCell ref="A115:C115"/>
    <mergeCell ref="D115:G115"/>
    <mergeCell ref="H115:K115"/>
    <mergeCell ref="L115:O115"/>
    <mergeCell ref="P115:S115"/>
    <mergeCell ref="T115:W115"/>
    <mergeCell ref="X115:AA115"/>
    <mergeCell ref="AB115:AE115"/>
    <mergeCell ref="AF115:AI115"/>
    <mergeCell ref="AJ115:AM115"/>
    <mergeCell ref="AN115:AQ115"/>
    <mergeCell ref="D114:G114"/>
    <mergeCell ref="H114:K114"/>
    <mergeCell ref="L114:O114"/>
    <mergeCell ref="P114:S114"/>
    <mergeCell ref="T114:W114"/>
    <mergeCell ref="X114:AA114"/>
    <mergeCell ref="AB114:AE114"/>
    <mergeCell ref="AF114:AI114"/>
    <mergeCell ref="AJ114:AM114"/>
    <mergeCell ref="AN116:AQ116"/>
    <mergeCell ref="C119:E119"/>
    <mergeCell ref="F119:K119"/>
    <mergeCell ref="L119:M119"/>
    <mergeCell ref="AI119:AL119"/>
    <mergeCell ref="AN119:AQ119"/>
    <mergeCell ref="C120:E120"/>
    <mergeCell ref="F120:K120"/>
    <mergeCell ref="L120:M120"/>
    <mergeCell ref="AI120:AL120"/>
    <mergeCell ref="AN120:AQ120"/>
    <mergeCell ref="D116:G116"/>
    <mergeCell ref="H116:K116"/>
    <mergeCell ref="L116:O116"/>
    <mergeCell ref="P116:S116"/>
    <mergeCell ref="T116:W116"/>
    <mergeCell ref="X116:AA116"/>
    <mergeCell ref="AB116:AE116"/>
    <mergeCell ref="AF116:AI116"/>
    <mergeCell ref="AJ116:AM116"/>
    <mergeCell ref="AN122:AQ122"/>
    <mergeCell ref="A123:C123"/>
    <mergeCell ref="D123:G123"/>
    <mergeCell ref="H123:K123"/>
    <mergeCell ref="L123:O123"/>
    <mergeCell ref="P123:S123"/>
    <mergeCell ref="T123:W123"/>
    <mergeCell ref="X123:AA123"/>
    <mergeCell ref="AB123:AE123"/>
    <mergeCell ref="AF123:AI123"/>
    <mergeCell ref="AJ123:AM123"/>
    <mergeCell ref="AN123:AQ123"/>
    <mergeCell ref="D122:G122"/>
    <mergeCell ref="H122:K122"/>
    <mergeCell ref="L122:O122"/>
    <mergeCell ref="P122:S122"/>
    <mergeCell ref="T122:W122"/>
    <mergeCell ref="X122:AA122"/>
    <mergeCell ref="AB122:AE122"/>
    <mergeCell ref="AF122:AI122"/>
    <mergeCell ref="AJ122:AM122"/>
    <mergeCell ref="AN124:AQ124"/>
    <mergeCell ref="C127:E127"/>
    <mergeCell ref="F127:K127"/>
    <mergeCell ref="L127:M127"/>
    <mergeCell ref="AI127:AL127"/>
    <mergeCell ref="AN127:AQ127"/>
    <mergeCell ref="C128:E128"/>
    <mergeCell ref="F128:K128"/>
    <mergeCell ref="L128:M128"/>
    <mergeCell ref="AI128:AL128"/>
    <mergeCell ref="AN128:AQ128"/>
    <mergeCell ref="D124:G124"/>
    <mergeCell ref="H124:K124"/>
    <mergeCell ref="L124:O124"/>
    <mergeCell ref="P124:S124"/>
    <mergeCell ref="T124:W124"/>
    <mergeCell ref="X124:AA124"/>
    <mergeCell ref="AB124:AE124"/>
    <mergeCell ref="AF124:AI124"/>
    <mergeCell ref="AJ124:AM124"/>
    <mergeCell ref="AN130:AQ130"/>
    <mergeCell ref="A131:C131"/>
    <mergeCell ref="D131:G131"/>
    <mergeCell ref="H131:K131"/>
    <mergeCell ref="L131:O131"/>
    <mergeCell ref="P131:S131"/>
    <mergeCell ref="T131:W131"/>
    <mergeCell ref="X131:AA131"/>
    <mergeCell ref="AB131:AE131"/>
    <mergeCell ref="AF131:AI131"/>
    <mergeCell ref="AJ131:AM131"/>
    <mergeCell ref="AN131:AQ131"/>
    <mergeCell ref="D130:G130"/>
    <mergeCell ref="H130:K130"/>
    <mergeCell ref="L130:O130"/>
    <mergeCell ref="P130:S130"/>
    <mergeCell ref="T130:W130"/>
    <mergeCell ref="X130:AA130"/>
    <mergeCell ref="AB130:AE130"/>
    <mergeCell ref="AF130:AI130"/>
    <mergeCell ref="AJ130:AM130"/>
    <mergeCell ref="AN132:AQ132"/>
    <mergeCell ref="C135:E135"/>
    <mergeCell ref="F135:K135"/>
    <mergeCell ref="L135:M135"/>
    <mergeCell ref="AI135:AL135"/>
    <mergeCell ref="AN135:AQ135"/>
    <mergeCell ref="C136:E136"/>
    <mergeCell ref="F136:K136"/>
    <mergeCell ref="L136:M136"/>
    <mergeCell ref="AI136:AL136"/>
    <mergeCell ref="AN136:AQ136"/>
    <mergeCell ref="D132:G132"/>
    <mergeCell ref="H132:K132"/>
    <mergeCell ref="L132:O132"/>
    <mergeCell ref="P132:S132"/>
    <mergeCell ref="T132:W132"/>
    <mergeCell ref="X132:AA132"/>
    <mergeCell ref="AB132:AE132"/>
    <mergeCell ref="AF132:AI132"/>
    <mergeCell ref="AJ132:AM132"/>
    <mergeCell ref="H139:K139"/>
    <mergeCell ref="L139:O139"/>
    <mergeCell ref="P139:S139"/>
    <mergeCell ref="T139:W139"/>
    <mergeCell ref="X139:AA139"/>
    <mergeCell ref="AB139:AE139"/>
    <mergeCell ref="AF139:AI139"/>
    <mergeCell ref="AJ139:AM139"/>
    <mergeCell ref="AN139:AQ139"/>
    <mergeCell ref="D138:G138"/>
    <mergeCell ref="H138:K138"/>
    <mergeCell ref="L138:O138"/>
    <mergeCell ref="P138:S138"/>
    <mergeCell ref="T138:W138"/>
    <mergeCell ref="X138:AA138"/>
    <mergeCell ref="AB138:AE138"/>
    <mergeCell ref="AF138:AI138"/>
    <mergeCell ref="AJ138:AM138"/>
    <mergeCell ref="AN140:AQ140"/>
    <mergeCell ref="C143:E143"/>
    <mergeCell ref="F143:K143"/>
    <mergeCell ref="L143:M143"/>
    <mergeCell ref="AI143:AL143"/>
    <mergeCell ref="AN143:AQ143"/>
    <mergeCell ref="C144:E144"/>
    <mergeCell ref="F144:K144"/>
    <mergeCell ref="L144:M144"/>
    <mergeCell ref="AI144:AL144"/>
    <mergeCell ref="AN144:AQ144"/>
    <mergeCell ref="D140:G140"/>
    <mergeCell ref="H140:K140"/>
    <mergeCell ref="L140:O140"/>
    <mergeCell ref="P140:S140"/>
    <mergeCell ref="T140:W140"/>
    <mergeCell ref="X140:AA140"/>
    <mergeCell ref="AB140:AE140"/>
    <mergeCell ref="AF140:AI140"/>
    <mergeCell ref="AJ140:AM140"/>
    <mergeCell ref="AN146:AQ146"/>
    <mergeCell ref="A147:C147"/>
    <mergeCell ref="D147:G147"/>
    <mergeCell ref="H147:K147"/>
    <mergeCell ref="L147:O147"/>
    <mergeCell ref="P147:S147"/>
    <mergeCell ref="T147:W147"/>
    <mergeCell ref="X147:AA147"/>
    <mergeCell ref="AB147:AE147"/>
    <mergeCell ref="AF147:AI147"/>
    <mergeCell ref="AJ147:AM147"/>
    <mergeCell ref="AN147:AQ147"/>
    <mergeCell ref="D146:G146"/>
    <mergeCell ref="H146:K146"/>
    <mergeCell ref="L146:O146"/>
    <mergeCell ref="P146:S146"/>
    <mergeCell ref="T146:W146"/>
    <mergeCell ref="X146:AA146"/>
    <mergeCell ref="AB146:AE146"/>
    <mergeCell ref="AF146:AI146"/>
    <mergeCell ref="AJ146:AM146"/>
    <mergeCell ref="AN148:AQ148"/>
    <mergeCell ref="C151:E151"/>
    <mergeCell ref="F151:K151"/>
    <mergeCell ref="L151:M151"/>
    <mergeCell ref="AI151:AL151"/>
    <mergeCell ref="AN151:AQ151"/>
    <mergeCell ref="C152:E152"/>
    <mergeCell ref="F152:K152"/>
    <mergeCell ref="L152:M152"/>
    <mergeCell ref="AI152:AL152"/>
    <mergeCell ref="AN152:AQ152"/>
    <mergeCell ref="D148:G148"/>
    <mergeCell ref="H148:K148"/>
    <mergeCell ref="L148:O148"/>
    <mergeCell ref="P148:S148"/>
    <mergeCell ref="T148:W148"/>
    <mergeCell ref="X148:AA148"/>
    <mergeCell ref="AB148:AE148"/>
    <mergeCell ref="AF148:AI148"/>
    <mergeCell ref="AJ148:AM148"/>
    <mergeCell ref="AN154:AQ154"/>
    <mergeCell ref="A155:C155"/>
    <mergeCell ref="D155:G155"/>
    <mergeCell ref="H155:K155"/>
    <mergeCell ref="L155:O155"/>
    <mergeCell ref="P155:S155"/>
    <mergeCell ref="T155:W155"/>
    <mergeCell ref="X155:AA155"/>
    <mergeCell ref="AB155:AE155"/>
    <mergeCell ref="AF155:AI155"/>
    <mergeCell ref="AJ155:AM155"/>
    <mergeCell ref="AN155:AQ155"/>
    <mergeCell ref="D154:G154"/>
    <mergeCell ref="H154:K154"/>
    <mergeCell ref="L154:O154"/>
    <mergeCell ref="P154:S154"/>
    <mergeCell ref="T154:W154"/>
    <mergeCell ref="X154:AA154"/>
    <mergeCell ref="AB154:AE154"/>
    <mergeCell ref="AF154:AI154"/>
    <mergeCell ref="AJ154:AM154"/>
    <mergeCell ref="L159:M159"/>
    <mergeCell ref="AI159:AL159"/>
    <mergeCell ref="AN159:AQ159"/>
    <mergeCell ref="C160:E160"/>
    <mergeCell ref="F160:K160"/>
    <mergeCell ref="L160:M160"/>
    <mergeCell ref="AI160:AL160"/>
    <mergeCell ref="AN160:AQ160"/>
    <mergeCell ref="D156:G156"/>
    <mergeCell ref="H156:K156"/>
    <mergeCell ref="L156:O156"/>
    <mergeCell ref="P156:S156"/>
    <mergeCell ref="T156:W156"/>
    <mergeCell ref="X156:AA156"/>
    <mergeCell ref="AB156:AE156"/>
    <mergeCell ref="AF156:AI156"/>
    <mergeCell ref="AJ156:AM156"/>
    <mergeCell ref="AN163:AQ163"/>
    <mergeCell ref="D162:G162"/>
    <mergeCell ref="H162:K162"/>
    <mergeCell ref="L162:O162"/>
    <mergeCell ref="P162:S162"/>
    <mergeCell ref="T162:W162"/>
    <mergeCell ref="X162:AA162"/>
    <mergeCell ref="AB162:AE162"/>
    <mergeCell ref="AF162:AI162"/>
    <mergeCell ref="AJ162:AM162"/>
    <mergeCell ref="AN164:AQ164"/>
    <mergeCell ref="B2:P2"/>
    <mergeCell ref="B4:P4"/>
    <mergeCell ref="R2:AG2"/>
    <mergeCell ref="R4:AG4"/>
    <mergeCell ref="AI2:AQ2"/>
    <mergeCell ref="AI4:AQ4"/>
    <mergeCell ref="D164:G164"/>
    <mergeCell ref="H164:K164"/>
    <mergeCell ref="L164:O164"/>
    <mergeCell ref="P164:S164"/>
    <mergeCell ref="T164:W164"/>
    <mergeCell ref="X164:AA164"/>
    <mergeCell ref="AB164:AE164"/>
    <mergeCell ref="AF164:AI164"/>
    <mergeCell ref="AJ164:AM164"/>
    <mergeCell ref="AN162:AQ162"/>
    <mergeCell ref="A163:C163"/>
    <mergeCell ref="D163:G163"/>
    <mergeCell ref="AN156:AQ156"/>
    <mergeCell ref="C159:E159"/>
    <mergeCell ref="F159:K159"/>
    <mergeCell ref="H163:K163"/>
    <mergeCell ref="L163:O163"/>
    <mergeCell ref="P163:S163"/>
    <mergeCell ref="T163:W163"/>
    <mergeCell ref="X163:AA163"/>
    <mergeCell ref="AT161:AV161"/>
    <mergeCell ref="AW161:AY161"/>
    <mergeCell ref="AT8:AV8"/>
    <mergeCell ref="AT9:AV9"/>
    <mergeCell ref="AW8:AY8"/>
    <mergeCell ref="AW9:AY9"/>
    <mergeCell ref="AT16:AV16"/>
    <mergeCell ref="AW16:AY16"/>
    <mergeCell ref="AT17:AV17"/>
    <mergeCell ref="AW17:AY17"/>
    <mergeCell ref="AT24:AV24"/>
    <mergeCell ref="AW24:AY24"/>
    <mergeCell ref="AT23:AY23"/>
    <mergeCell ref="AT31:AY31"/>
    <mergeCell ref="AT39:AY39"/>
    <mergeCell ref="AT25:AV25"/>
    <mergeCell ref="AW25:AY25"/>
    <mergeCell ref="AT32:AV32"/>
    <mergeCell ref="AW32:AY32"/>
    <mergeCell ref="AT33:AV33"/>
    <mergeCell ref="AW33:AY33"/>
    <mergeCell ref="AT47:AY47"/>
    <mergeCell ref="AT55:AY55"/>
    <mergeCell ref="AT63:AY63"/>
    <mergeCell ref="AB163:AE163"/>
    <mergeCell ref="AF163:AI163"/>
    <mergeCell ref="AJ163:AM163"/>
    <mergeCell ref="C207:E207"/>
    <mergeCell ref="F207:K207"/>
    <mergeCell ref="L207:M207"/>
    <mergeCell ref="AI207:AL207"/>
    <mergeCell ref="AN207:AQ207"/>
    <mergeCell ref="AT207:AY207"/>
    <mergeCell ref="C208:E208"/>
    <mergeCell ref="F208:K208"/>
    <mergeCell ref="L208:M208"/>
    <mergeCell ref="AI208:AL208"/>
    <mergeCell ref="AN208:AQ208"/>
    <mergeCell ref="AT208:AV208"/>
    <mergeCell ref="AW208:AY208"/>
    <mergeCell ref="AT209:AV209"/>
    <mergeCell ref="AW209:AY209"/>
    <mergeCell ref="D210:G210"/>
    <mergeCell ref="H210:K210"/>
    <mergeCell ref="L210:O210"/>
    <mergeCell ref="P210:S210"/>
    <mergeCell ref="T210:W210"/>
    <mergeCell ref="X210:AA210"/>
    <mergeCell ref="AB210:AE210"/>
    <mergeCell ref="AF210:AI210"/>
    <mergeCell ref="AJ210:AM210"/>
    <mergeCell ref="AN210:AQ210"/>
    <mergeCell ref="A211:C211"/>
    <mergeCell ref="D211:G211"/>
    <mergeCell ref="H211:K211"/>
    <mergeCell ref="L211:O211"/>
    <mergeCell ref="P211:S211"/>
    <mergeCell ref="T211:W211"/>
    <mergeCell ref="X211:AA211"/>
    <mergeCell ref="AB211:AE211"/>
    <mergeCell ref="AF211:AI211"/>
    <mergeCell ref="AJ211:AM211"/>
    <mergeCell ref="AN211:AQ211"/>
    <mergeCell ref="D212:G212"/>
    <mergeCell ref="H212:K212"/>
    <mergeCell ref="L212:O212"/>
    <mergeCell ref="P212:S212"/>
    <mergeCell ref="T212:W212"/>
    <mergeCell ref="X212:AA212"/>
    <mergeCell ref="AB212:AE212"/>
    <mergeCell ref="AF212:AI212"/>
    <mergeCell ref="AJ212:AM212"/>
    <mergeCell ref="AN212:AQ212"/>
    <mergeCell ref="C215:E215"/>
    <mergeCell ref="F215:K215"/>
    <mergeCell ref="L215:M215"/>
    <mergeCell ref="AI215:AL215"/>
    <mergeCell ref="AN215:AQ215"/>
    <mergeCell ref="AT215:AY215"/>
    <mergeCell ref="C216:E216"/>
    <mergeCell ref="F216:K216"/>
    <mergeCell ref="L216:M216"/>
    <mergeCell ref="AI216:AL216"/>
    <mergeCell ref="AN216:AQ216"/>
    <mergeCell ref="AT216:AV216"/>
    <mergeCell ref="AW216:AY216"/>
    <mergeCell ref="AT217:AV217"/>
    <mergeCell ref="AW217:AY217"/>
    <mergeCell ref="D218:G218"/>
    <mergeCell ref="H218:K218"/>
    <mergeCell ref="L218:O218"/>
    <mergeCell ref="P218:S218"/>
    <mergeCell ref="T218:W218"/>
    <mergeCell ref="X218:AA218"/>
    <mergeCell ref="AB218:AE218"/>
    <mergeCell ref="AF218:AI218"/>
    <mergeCell ref="AJ218:AM218"/>
    <mergeCell ref="AN218:AQ218"/>
    <mergeCell ref="A219:C219"/>
    <mergeCell ref="D219:G219"/>
    <mergeCell ref="H219:K219"/>
    <mergeCell ref="L219:O219"/>
    <mergeCell ref="P219:S219"/>
    <mergeCell ref="T219:W219"/>
    <mergeCell ref="X219:AA219"/>
    <mergeCell ref="AB219:AE219"/>
    <mergeCell ref="AF219:AI219"/>
    <mergeCell ref="AJ219:AM219"/>
    <mergeCell ref="AN219:AQ219"/>
    <mergeCell ref="D220:G220"/>
    <mergeCell ref="H220:K220"/>
    <mergeCell ref="L220:O220"/>
    <mergeCell ref="P220:S220"/>
    <mergeCell ref="T220:W220"/>
    <mergeCell ref="X220:AA220"/>
    <mergeCell ref="AB220:AE220"/>
    <mergeCell ref="AF220:AI220"/>
    <mergeCell ref="AJ220:AM220"/>
    <mergeCell ref="AN220:AQ220"/>
    <mergeCell ref="C223:E223"/>
    <mergeCell ref="F223:K223"/>
    <mergeCell ref="L223:M223"/>
    <mergeCell ref="AI223:AL223"/>
    <mergeCell ref="AN223:AQ223"/>
    <mergeCell ref="AT223:AY223"/>
    <mergeCell ref="C224:E224"/>
    <mergeCell ref="F224:K224"/>
    <mergeCell ref="L224:M224"/>
    <mergeCell ref="AI224:AL224"/>
    <mergeCell ref="AN224:AQ224"/>
    <mergeCell ref="AT224:AV224"/>
    <mergeCell ref="AW224:AY224"/>
    <mergeCell ref="AT225:AV225"/>
    <mergeCell ref="AW225:AY225"/>
    <mergeCell ref="D226:G226"/>
    <mergeCell ref="H226:K226"/>
    <mergeCell ref="L226:O226"/>
    <mergeCell ref="P226:S226"/>
    <mergeCell ref="T226:W226"/>
    <mergeCell ref="X226:AA226"/>
    <mergeCell ref="AB226:AE226"/>
    <mergeCell ref="AF226:AI226"/>
    <mergeCell ref="AJ226:AM226"/>
    <mergeCell ref="AN226:AQ226"/>
    <mergeCell ref="A227:C227"/>
    <mergeCell ref="D227:G227"/>
    <mergeCell ref="H227:K227"/>
    <mergeCell ref="L227:O227"/>
    <mergeCell ref="P227:S227"/>
    <mergeCell ref="T227:W227"/>
    <mergeCell ref="X227:AA227"/>
    <mergeCell ref="AB227:AE227"/>
    <mergeCell ref="AF227:AI227"/>
    <mergeCell ref="AJ227:AM227"/>
    <mergeCell ref="AN227:AQ227"/>
    <mergeCell ref="D228:G228"/>
    <mergeCell ref="H228:K228"/>
    <mergeCell ref="L228:O228"/>
    <mergeCell ref="P228:S228"/>
    <mergeCell ref="T228:W228"/>
    <mergeCell ref="X228:AA228"/>
    <mergeCell ref="AB228:AE228"/>
    <mergeCell ref="AF228:AI228"/>
    <mergeCell ref="AJ228:AM228"/>
    <mergeCell ref="AN228:AQ228"/>
    <mergeCell ref="C231:E231"/>
    <mergeCell ref="F231:K231"/>
    <mergeCell ref="L231:M231"/>
    <mergeCell ref="AI231:AL231"/>
    <mergeCell ref="AN231:AQ231"/>
    <mergeCell ref="AT231:AY231"/>
    <mergeCell ref="C232:E232"/>
    <mergeCell ref="F232:K232"/>
    <mergeCell ref="L232:M232"/>
    <mergeCell ref="AI232:AL232"/>
    <mergeCell ref="AN232:AQ232"/>
    <mergeCell ref="AT232:AV232"/>
    <mergeCell ref="AW232:AY232"/>
    <mergeCell ref="AT233:AV233"/>
    <mergeCell ref="AW233:AY233"/>
    <mergeCell ref="D234:G234"/>
    <mergeCell ref="H234:K234"/>
    <mergeCell ref="L234:O234"/>
    <mergeCell ref="P234:S234"/>
    <mergeCell ref="T234:W234"/>
    <mergeCell ref="X234:AA234"/>
    <mergeCell ref="AB234:AE234"/>
    <mergeCell ref="AF234:AI234"/>
    <mergeCell ref="AJ234:AM234"/>
    <mergeCell ref="AN234:AQ234"/>
    <mergeCell ref="A235:C235"/>
    <mergeCell ref="D235:G235"/>
    <mergeCell ref="H235:K235"/>
    <mergeCell ref="L235:O235"/>
    <mergeCell ref="P235:S235"/>
    <mergeCell ref="T235:W235"/>
    <mergeCell ref="X235:AA235"/>
    <mergeCell ref="AB235:AE235"/>
    <mergeCell ref="AF235:AI235"/>
    <mergeCell ref="AJ235:AM235"/>
    <mergeCell ref="AN235:AQ235"/>
    <mergeCell ref="D236:G236"/>
    <mergeCell ref="H236:K236"/>
    <mergeCell ref="L236:O236"/>
    <mergeCell ref="P236:S236"/>
    <mergeCell ref="T236:W236"/>
    <mergeCell ref="X236:AA236"/>
    <mergeCell ref="AB236:AE236"/>
    <mergeCell ref="AF236:AI236"/>
    <mergeCell ref="AJ236:AM236"/>
    <mergeCell ref="AN236:AQ236"/>
    <mergeCell ref="C239:E239"/>
    <mergeCell ref="F239:K239"/>
    <mergeCell ref="L239:M239"/>
    <mergeCell ref="AI239:AL239"/>
    <mergeCell ref="AN239:AQ239"/>
    <mergeCell ref="AT239:AY239"/>
    <mergeCell ref="C240:E240"/>
    <mergeCell ref="F240:K240"/>
    <mergeCell ref="L240:M240"/>
    <mergeCell ref="AI240:AL240"/>
    <mergeCell ref="AN240:AQ240"/>
    <mergeCell ref="AT240:AV240"/>
    <mergeCell ref="AW240:AY240"/>
    <mergeCell ref="AT241:AV241"/>
    <mergeCell ref="AW241:AY241"/>
    <mergeCell ref="D242:G242"/>
    <mergeCell ref="H242:K242"/>
    <mergeCell ref="L242:O242"/>
    <mergeCell ref="P242:S242"/>
    <mergeCell ref="T242:W242"/>
    <mergeCell ref="X242:AA242"/>
    <mergeCell ref="AB242:AE242"/>
    <mergeCell ref="AF242:AI242"/>
    <mergeCell ref="AJ242:AM242"/>
    <mergeCell ref="AN242:AQ242"/>
    <mergeCell ref="A243:C243"/>
    <mergeCell ref="D243:G243"/>
    <mergeCell ref="H243:K243"/>
    <mergeCell ref="L243:O243"/>
    <mergeCell ref="P243:S243"/>
    <mergeCell ref="T243:W243"/>
    <mergeCell ref="X243:AA243"/>
    <mergeCell ref="AB243:AE243"/>
    <mergeCell ref="AF243:AI243"/>
    <mergeCell ref="AJ243:AM243"/>
    <mergeCell ref="AN243:AQ243"/>
    <mergeCell ref="D244:G244"/>
    <mergeCell ref="H244:K244"/>
    <mergeCell ref="L244:O244"/>
    <mergeCell ref="P244:S244"/>
    <mergeCell ref="T244:W244"/>
    <mergeCell ref="X244:AA244"/>
    <mergeCell ref="AB244:AE244"/>
    <mergeCell ref="AF244:AI244"/>
    <mergeCell ref="AJ244:AM244"/>
    <mergeCell ref="AN244:AQ244"/>
    <mergeCell ref="C247:E247"/>
    <mergeCell ref="F247:K247"/>
    <mergeCell ref="L247:M247"/>
    <mergeCell ref="AI247:AL247"/>
    <mergeCell ref="AN247:AQ247"/>
    <mergeCell ref="AT247:AY247"/>
    <mergeCell ref="C248:E248"/>
    <mergeCell ref="F248:K248"/>
    <mergeCell ref="L248:M248"/>
    <mergeCell ref="AI248:AL248"/>
    <mergeCell ref="AN248:AQ248"/>
    <mergeCell ref="AT248:AV248"/>
    <mergeCell ref="AW248:AY248"/>
    <mergeCell ref="AT249:AV249"/>
    <mergeCell ref="AW249:AY249"/>
    <mergeCell ref="D250:G250"/>
    <mergeCell ref="H250:K250"/>
    <mergeCell ref="L250:O250"/>
    <mergeCell ref="P250:S250"/>
    <mergeCell ref="T250:W250"/>
    <mergeCell ref="X250:AA250"/>
    <mergeCell ref="AB250:AE250"/>
    <mergeCell ref="AF250:AI250"/>
    <mergeCell ref="AJ250:AM250"/>
    <mergeCell ref="AN250:AQ250"/>
    <mergeCell ref="A251:C251"/>
    <mergeCell ref="D251:G251"/>
    <mergeCell ref="H251:K251"/>
    <mergeCell ref="L251:O251"/>
    <mergeCell ref="P251:S251"/>
    <mergeCell ref="T251:W251"/>
    <mergeCell ref="X251:AA251"/>
    <mergeCell ref="AB251:AE251"/>
    <mergeCell ref="AF251:AI251"/>
    <mergeCell ref="AJ251:AM251"/>
    <mergeCell ref="AN251:AQ251"/>
    <mergeCell ref="D252:G252"/>
    <mergeCell ref="H252:K252"/>
    <mergeCell ref="L252:O252"/>
    <mergeCell ref="P252:S252"/>
    <mergeCell ref="T252:W252"/>
    <mergeCell ref="X252:AA252"/>
    <mergeCell ref="AB252:AE252"/>
    <mergeCell ref="AF252:AI252"/>
    <mergeCell ref="AJ252:AM252"/>
    <mergeCell ref="AN252:AQ252"/>
    <mergeCell ref="C255:E255"/>
    <mergeCell ref="F255:K255"/>
    <mergeCell ref="L255:M255"/>
    <mergeCell ref="AI255:AL255"/>
    <mergeCell ref="AN255:AQ255"/>
    <mergeCell ref="AT255:AY255"/>
    <mergeCell ref="C256:E256"/>
    <mergeCell ref="F256:K256"/>
    <mergeCell ref="L256:M256"/>
    <mergeCell ref="AI256:AL256"/>
    <mergeCell ref="AN256:AQ256"/>
    <mergeCell ref="AT256:AV256"/>
    <mergeCell ref="AW256:AY256"/>
    <mergeCell ref="AT257:AV257"/>
    <mergeCell ref="AW257:AY257"/>
    <mergeCell ref="D258:G258"/>
    <mergeCell ref="H258:K258"/>
    <mergeCell ref="L258:O258"/>
    <mergeCell ref="P258:S258"/>
    <mergeCell ref="T258:W258"/>
    <mergeCell ref="X258:AA258"/>
    <mergeCell ref="AB258:AE258"/>
    <mergeCell ref="AF258:AI258"/>
    <mergeCell ref="AJ258:AM258"/>
    <mergeCell ref="AN258:AQ258"/>
    <mergeCell ref="A259:C259"/>
    <mergeCell ref="D259:G259"/>
    <mergeCell ref="H259:K259"/>
    <mergeCell ref="L259:O259"/>
    <mergeCell ref="P259:S259"/>
    <mergeCell ref="T259:W259"/>
    <mergeCell ref="X259:AA259"/>
    <mergeCell ref="AB259:AE259"/>
    <mergeCell ref="AF259:AI259"/>
    <mergeCell ref="AJ259:AM259"/>
    <mergeCell ref="AN259:AQ259"/>
    <mergeCell ref="D260:G260"/>
    <mergeCell ref="H260:K260"/>
    <mergeCell ref="L260:O260"/>
    <mergeCell ref="P260:S260"/>
    <mergeCell ref="T260:W260"/>
    <mergeCell ref="X260:AA260"/>
    <mergeCell ref="AB260:AE260"/>
    <mergeCell ref="AF260:AI260"/>
    <mergeCell ref="AJ260:AM260"/>
    <mergeCell ref="AN260:AQ260"/>
    <mergeCell ref="C263:E263"/>
    <mergeCell ref="F263:K263"/>
    <mergeCell ref="L263:M263"/>
    <mergeCell ref="AI263:AL263"/>
    <mergeCell ref="AN263:AQ263"/>
    <mergeCell ref="AT263:AY263"/>
    <mergeCell ref="C264:E264"/>
    <mergeCell ref="F264:K264"/>
    <mergeCell ref="L264:M264"/>
    <mergeCell ref="AI264:AL264"/>
    <mergeCell ref="AN264:AQ264"/>
    <mergeCell ref="AT264:AV264"/>
    <mergeCell ref="AW264:AY264"/>
    <mergeCell ref="AT265:AV265"/>
    <mergeCell ref="AW265:AY265"/>
    <mergeCell ref="D266:G266"/>
    <mergeCell ref="H266:K266"/>
    <mergeCell ref="L266:O266"/>
    <mergeCell ref="P266:S266"/>
    <mergeCell ref="T266:W266"/>
    <mergeCell ref="X266:AA266"/>
    <mergeCell ref="AB266:AE266"/>
    <mergeCell ref="AF266:AI266"/>
    <mergeCell ref="AJ266:AM266"/>
    <mergeCell ref="AN266:AQ266"/>
    <mergeCell ref="A267:C267"/>
    <mergeCell ref="D267:G267"/>
    <mergeCell ref="H267:K267"/>
    <mergeCell ref="L267:O267"/>
    <mergeCell ref="P267:S267"/>
    <mergeCell ref="T267:W267"/>
    <mergeCell ref="X267:AA267"/>
    <mergeCell ref="AB267:AE267"/>
    <mergeCell ref="AF267:AI267"/>
    <mergeCell ref="AJ267:AM267"/>
    <mergeCell ref="AN267:AQ267"/>
    <mergeCell ref="D268:G268"/>
    <mergeCell ref="H268:K268"/>
    <mergeCell ref="L268:O268"/>
    <mergeCell ref="P268:S268"/>
    <mergeCell ref="T268:W268"/>
    <mergeCell ref="X268:AA268"/>
    <mergeCell ref="AB268:AE268"/>
    <mergeCell ref="AF268:AI268"/>
    <mergeCell ref="AJ268:AM268"/>
    <mergeCell ref="AN268:AQ268"/>
    <mergeCell ref="C271:E271"/>
    <mergeCell ref="F271:K271"/>
    <mergeCell ref="L271:M271"/>
    <mergeCell ref="AI271:AL271"/>
    <mergeCell ref="AN271:AQ271"/>
    <mergeCell ref="AT271:AY271"/>
    <mergeCell ref="C272:E272"/>
    <mergeCell ref="F272:K272"/>
    <mergeCell ref="L272:M272"/>
    <mergeCell ref="AI272:AL272"/>
    <mergeCell ref="AN272:AQ272"/>
    <mergeCell ref="AT272:AV272"/>
    <mergeCell ref="AW272:AY272"/>
    <mergeCell ref="AT273:AV273"/>
    <mergeCell ref="AW273:AY273"/>
    <mergeCell ref="D274:G274"/>
    <mergeCell ref="H274:K274"/>
    <mergeCell ref="L274:O274"/>
    <mergeCell ref="P274:S274"/>
    <mergeCell ref="T274:W274"/>
    <mergeCell ref="X274:AA274"/>
    <mergeCell ref="AB274:AE274"/>
    <mergeCell ref="AF274:AI274"/>
    <mergeCell ref="AJ274:AM274"/>
    <mergeCell ref="AN274:AQ274"/>
    <mergeCell ref="A275:C275"/>
    <mergeCell ref="D275:G275"/>
    <mergeCell ref="H275:K275"/>
    <mergeCell ref="L275:O275"/>
    <mergeCell ref="P275:S275"/>
    <mergeCell ref="T275:W275"/>
    <mergeCell ref="X275:AA275"/>
    <mergeCell ref="AB275:AE275"/>
    <mergeCell ref="AF275:AI275"/>
    <mergeCell ref="AJ275:AM275"/>
    <mergeCell ref="AN275:AQ275"/>
    <mergeCell ref="D276:G276"/>
    <mergeCell ref="H276:K276"/>
    <mergeCell ref="L276:O276"/>
    <mergeCell ref="P276:S276"/>
    <mergeCell ref="T276:W276"/>
    <mergeCell ref="X276:AA276"/>
    <mergeCell ref="AB276:AE276"/>
    <mergeCell ref="AF276:AI276"/>
    <mergeCell ref="AJ276:AM276"/>
    <mergeCell ref="AN276:AQ276"/>
    <mergeCell ref="C279:E279"/>
    <mergeCell ref="F279:K279"/>
    <mergeCell ref="L279:M279"/>
    <mergeCell ref="AI279:AL279"/>
    <mergeCell ref="AN279:AQ279"/>
    <mergeCell ref="AT279:AY279"/>
    <mergeCell ref="C280:E280"/>
    <mergeCell ref="F280:K280"/>
    <mergeCell ref="L280:M280"/>
    <mergeCell ref="AI280:AL280"/>
    <mergeCell ref="AN280:AQ280"/>
    <mergeCell ref="AT280:AV280"/>
    <mergeCell ref="AW280:AY280"/>
    <mergeCell ref="AT281:AV281"/>
    <mergeCell ref="AW281:AY281"/>
    <mergeCell ref="D282:G282"/>
    <mergeCell ref="H282:K282"/>
    <mergeCell ref="L282:O282"/>
    <mergeCell ref="P282:S282"/>
    <mergeCell ref="T282:W282"/>
    <mergeCell ref="X282:AA282"/>
    <mergeCell ref="AB282:AE282"/>
    <mergeCell ref="AF282:AI282"/>
    <mergeCell ref="AJ282:AM282"/>
    <mergeCell ref="AN282:AQ282"/>
    <mergeCell ref="A283:C283"/>
    <mergeCell ref="D283:G283"/>
    <mergeCell ref="H283:K283"/>
    <mergeCell ref="L283:O283"/>
    <mergeCell ref="P283:S283"/>
    <mergeCell ref="T283:W283"/>
    <mergeCell ref="X283:AA283"/>
    <mergeCell ref="AB283:AE283"/>
    <mergeCell ref="AF283:AI283"/>
    <mergeCell ref="AJ283:AM283"/>
    <mergeCell ref="AN283:AQ283"/>
    <mergeCell ref="D284:G284"/>
    <mergeCell ref="H284:K284"/>
    <mergeCell ref="L284:O284"/>
    <mergeCell ref="P284:S284"/>
    <mergeCell ref="T284:W284"/>
    <mergeCell ref="X284:AA284"/>
    <mergeCell ref="AB284:AE284"/>
    <mergeCell ref="AF284:AI284"/>
    <mergeCell ref="AJ284:AM284"/>
    <mergeCell ref="AN284:AQ284"/>
    <mergeCell ref="C287:E287"/>
    <mergeCell ref="F287:K287"/>
    <mergeCell ref="L287:M287"/>
    <mergeCell ref="AI287:AL287"/>
    <mergeCell ref="AN287:AQ287"/>
    <mergeCell ref="AT287:AY287"/>
    <mergeCell ref="C288:E288"/>
    <mergeCell ref="F288:K288"/>
    <mergeCell ref="L288:M288"/>
    <mergeCell ref="AI288:AL288"/>
    <mergeCell ref="AN288:AQ288"/>
    <mergeCell ref="AT288:AV288"/>
    <mergeCell ref="AW288:AY288"/>
    <mergeCell ref="AT289:AV289"/>
    <mergeCell ref="AW289:AY289"/>
    <mergeCell ref="D290:G290"/>
    <mergeCell ref="H290:K290"/>
    <mergeCell ref="L290:O290"/>
    <mergeCell ref="P290:S290"/>
    <mergeCell ref="T290:W290"/>
    <mergeCell ref="X290:AA290"/>
    <mergeCell ref="AB290:AE290"/>
    <mergeCell ref="AF290:AI290"/>
    <mergeCell ref="AJ290:AM290"/>
    <mergeCell ref="AN290:AQ290"/>
    <mergeCell ref="A291:C291"/>
    <mergeCell ref="D291:G291"/>
    <mergeCell ref="H291:K291"/>
    <mergeCell ref="L291:O291"/>
    <mergeCell ref="P291:S291"/>
    <mergeCell ref="T291:W291"/>
    <mergeCell ref="X291:AA291"/>
    <mergeCell ref="AB291:AE291"/>
    <mergeCell ref="AF291:AI291"/>
    <mergeCell ref="AJ291:AM291"/>
    <mergeCell ref="AN291:AQ291"/>
    <mergeCell ref="D292:G292"/>
    <mergeCell ref="H292:K292"/>
    <mergeCell ref="L292:O292"/>
    <mergeCell ref="P292:S292"/>
    <mergeCell ref="T292:W292"/>
    <mergeCell ref="X292:AA292"/>
    <mergeCell ref="AB292:AE292"/>
    <mergeCell ref="AF292:AI292"/>
    <mergeCell ref="AJ292:AM292"/>
    <mergeCell ref="AN292:AQ292"/>
    <mergeCell ref="C295:E295"/>
    <mergeCell ref="F295:K295"/>
    <mergeCell ref="L295:M295"/>
    <mergeCell ref="AI295:AL295"/>
    <mergeCell ref="AN295:AQ295"/>
    <mergeCell ref="AT295:AY295"/>
    <mergeCell ref="C296:E296"/>
    <mergeCell ref="F296:K296"/>
    <mergeCell ref="L296:M296"/>
    <mergeCell ref="AI296:AL296"/>
    <mergeCell ref="AN296:AQ296"/>
    <mergeCell ref="AT296:AV296"/>
    <mergeCell ref="AW296:AY296"/>
    <mergeCell ref="AT297:AV297"/>
    <mergeCell ref="AW297:AY297"/>
    <mergeCell ref="D298:G298"/>
    <mergeCell ref="H298:K298"/>
    <mergeCell ref="L298:O298"/>
    <mergeCell ref="P298:S298"/>
    <mergeCell ref="T298:W298"/>
    <mergeCell ref="X298:AA298"/>
    <mergeCell ref="AB298:AE298"/>
    <mergeCell ref="AF298:AI298"/>
    <mergeCell ref="AJ298:AM298"/>
    <mergeCell ref="AN298:AQ298"/>
    <mergeCell ref="A299:C299"/>
    <mergeCell ref="D299:G299"/>
    <mergeCell ref="H299:K299"/>
    <mergeCell ref="L299:O299"/>
    <mergeCell ref="P299:S299"/>
    <mergeCell ref="T299:W299"/>
    <mergeCell ref="X299:AA299"/>
    <mergeCell ref="AB299:AE299"/>
    <mergeCell ref="AF299:AI299"/>
    <mergeCell ref="AJ299:AM299"/>
    <mergeCell ref="AN299:AQ299"/>
    <mergeCell ref="D300:G300"/>
    <mergeCell ref="H300:K300"/>
    <mergeCell ref="L300:O300"/>
    <mergeCell ref="P300:S300"/>
    <mergeCell ref="T300:W300"/>
    <mergeCell ref="X300:AA300"/>
    <mergeCell ref="AB300:AE300"/>
    <mergeCell ref="AF300:AI300"/>
    <mergeCell ref="AJ300:AM300"/>
    <mergeCell ref="AN300:AQ300"/>
    <mergeCell ref="C303:E303"/>
    <mergeCell ref="F303:K303"/>
    <mergeCell ref="L303:M303"/>
    <mergeCell ref="AI303:AL303"/>
    <mergeCell ref="AN303:AQ303"/>
    <mergeCell ref="AT303:AY303"/>
    <mergeCell ref="C304:E304"/>
    <mergeCell ref="F304:K304"/>
    <mergeCell ref="L304:M304"/>
    <mergeCell ref="AI304:AL304"/>
    <mergeCell ref="AN304:AQ304"/>
    <mergeCell ref="AT304:AV304"/>
    <mergeCell ref="AW304:AY304"/>
    <mergeCell ref="AT305:AV305"/>
    <mergeCell ref="AW305:AY305"/>
    <mergeCell ref="D306:G306"/>
    <mergeCell ref="H306:K306"/>
    <mergeCell ref="L306:O306"/>
    <mergeCell ref="P306:S306"/>
    <mergeCell ref="T306:W306"/>
    <mergeCell ref="X306:AA306"/>
    <mergeCell ref="AB306:AE306"/>
    <mergeCell ref="AF306:AI306"/>
    <mergeCell ref="AJ306:AM306"/>
    <mergeCell ref="AN306:AQ306"/>
    <mergeCell ref="A307:C307"/>
    <mergeCell ref="D307:G307"/>
    <mergeCell ref="H307:K307"/>
    <mergeCell ref="L307:O307"/>
    <mergeCell ref="P307:S307"/>
    <mergeCell ref="T307:W307"/>
    <mergeCell ref="X307:AA307"/>
    <mergeCell ref="AB307:AE307"/>
    <mergeCell ref="AF307:AI307"/>
    <mergeCell ref="AJ307:AM307"/>
    <mergeCell ref="AN307:AQ307"/>
    <mergeCell ref="D308:G308"/>
    <mergeCell ref="H308:K308"/>
    <mergeCell ref="L308:O308"/>
    <mergeCell ref="P308:S308"/>
    <mergeCell ref="T308:W308"/>
    <mergeCell ref="X308:AA308"/>
    <mergeCell ref="AB308:AE308"/>
    <mergeCell ref="AF308:AI308"/>
    <mergeCell ref="AJ308:AM308"/>
    <mergeCell ref="AN308:AQ308"/>
    <mergeCell ref="C311:E311"/>
    <mergeCell ref="F311:K311"/>
    <mergeCell ref="L311:M311"/>
    <mergeCell ref="AI311:AL311"/>
    <mergeCell ref="AN311:AQ311"/>
    <mergeCell ref="AT311:AY311"/>
    <mergeCell ref="C312:E312"/>
    <mergeCell ref="F312:K312"/>
    <mergeCell ref="L312:M312"/>
    <mergeCell ref="AI312:AL312"/>
    <mergeCell ref="AN312:AQ312"/>
    <mergeCell ref="AT312:AV312"/>
    <mergeCell ref="AW312:AY312"/>
    <mergeCell ref="AT313:AV313"/>
    <mergeCell ref="AW313:AY313"/>
    <mergeCell ref="D314:G314"/>
    <mergeCell ref="H314:K314"/>
    <mergeCell ref="L314:O314"/>
    <mergeCell ref="P314:S314"/>
    <mergeCell ref="T314:W314"/>
    <mergeCell ref="X314:AA314"/>
    <mergeCell ref="AB314:AE314"/>
    <mergeCell ref="AF314:AI314"/>
    <mergeCell ref="AJ314:AM314"/>
    <mergeCell ref="AN314:AQ314"/>
    <mergeCell ref="A315:C315"/>
    <mergeCell ref="D315:G315"/>
    <mergeCell ref="H315:K315"/>
    <mergeCell ref="L315:O315"/>
    <mergeCell ref="P315:S315"/>
    <mergeCell ref="T315:W315"/>
    <mergeCell ref="X315:AA315"/>
    <mergeCell ref="AB315:AE315"/>
    <mergeCell ref="AF315:AI315"/>
    <mergeCell ref="AJ315:AM315"/>
    <mergeCell ref="AN315:AQ315"/>
    <mergeCell ref="D316:G316"/>
    <mergeCell ref="H316:K316"/>
    <mergeCell ref="L316:O316"/>
    <mergeCell ref="P316:S316"/>
    <mergeCell ref="T316:W316"/>
    <mergeCell ref="X316:AA316"/>
    <mergeCell ref="AB316:AE316"/>
    <mergeCell ref="AF316:AI316"/>
    <mergeCell ref="AJ316:AM316"/>
    <mergeCell ref="AN316:AQ316"/>
    <mergeCell ref="C319:E319"/>
    <mergeCell ref="F319:K319"/>
    <mergeCell ref="L319:M319"/>
    <mergeCell ref="AI319:AL319"/>
    <mergeCell ref="AN319:AQ319"/>
    <mergeCell ref="AT319:AY319"/>
    <mergeCell ref="C320:E320"/>
    <mergeCell ref="F320:K320"/>
    <mergeCell ref="L320:M320"/>
    <mergeCell ref="AI320:AL320"/>
    <mergeCell ref="AN320:AQ320"/>
    <mergeCell ref="AT320:AV320"/>
    <mergeCell ref="AW320:AY320"/>
    <mergeCell ref="AT321:AV321"/>
    <mergeCell ref="AW321:AY321"/>
    <mergeCell ref="D322:G322"/>
    <mergeCell ref="H322:K322"/>
    <mergeCell ref="L322:O322"/>
    <mergeCell ref="P322:S322"/>
    <mergeCell ref="T322:W322"/>
    <mergeCell ref="X322:AA322"/>
    <mergeCell ref="AB322:AE322"/>
    <mergeCell ref="AF322:AI322"/>
    <mergeCell ref="AJ322:AM322"/>
    <mergeCell ref="AN322:AQ322"/>
    <mergeCell ref="A323:C323"/>
    <mergeCell ref="D323:G323"/>
    <mergeCell ref="H323:K323"/>
    <mergeCell ref="L323:O323"/>
    <mergeCell ref="P323:S323"/>
    <mergeCell ref="T323:W323"/>
    <mergeCell ref="X323:AA323"/>
    <mergeCell ref="AB323:AE323"/>
    <mergeCell ref="AF323:AI323"/>
    <mergeCell ref="AJ323:AM323"/>
    <mergeCell ref="AN323:AQ323"/>
    <mergeCell ref="D324:G324"/>
    <mergeCell ref="H324:K324"/>
    <mergeCell ref="L324:O324"/>
    <mergeCell ref="P324:S324"/>
    <mergeCell ref="T324:W324"/>
    <mergeCell ref="X324:AA324"/>
    <mergeCell ref="AB324:AE324"/>
    <mergeCell ref="AF324:AI324"/>
    <mergeCell ref="AJ324:AM324"/>
    <mergeCell ref="AN324:AQ324"/>
    <mergeCell ref="C327:E327"/>
    <mergeCell ref="F327:K327"/>
    <mergeCell ref="L327:M327"/>
    <mergeCell ref="AI327:AL327"/>
    <mergeCell ref="AN327:AQ327"/>
    <mergeCell ref="AT327:AY327"/>
    <mergeCell ref="C328:E328"/>
    <mergeCell ref="F328:K328"/>
    <mergeCell ref="L328:M328"/>
    <mergeCell ref="AI328:AL328"/>
    <mergeCell ref="AN328:AQ328"/>
    <mergeCell ref="AT328:AV328"/>
    <mergeCell ref="AW328:AY328"/>
    <mergeCell ref="AT329:AV329"/>
    <mergeCell ref="AW329:AY329"/>
    <mergeCell ref="D330:G330"/>
    <mergeCell ref="H330:K330"/>
    <mergeCell ref="L330:O330"/>
    <mergeCell ref="P330:S330"/>
    <mergeCell ref="T330:W330"/>
    <mergeCell ref="X330:AA330"/>
    <mergeCell ref="AB330:AE330"/>
    <mergeCell ref="AF330:AI330"/>
    <mergeCell ref="AJ330:AM330"/>
    <mergeCell ref="AN330:AQ330"/>
    <mergeCell ref="A331:C331"/>
    <mergeCell ref="D331:G331"/>
    <mergeCell ref="H331:K331"/>
    <mergeCell ref="L331:O331"/>
    <mergeCell ref="P331:S331"/>
    <mergeCell ref="T331:W331"/>
    <mergeCell ref="X331:AA331"/>
    <mergeCell ref="AB331:AE331"/>
    <mergeCell ref="AF331:AI331"/>
    <mergeCell ref="AJ331:AM331"/>
    <mergeCell ref="AN331:AQ331"/>
    <mergeCell ref="D332:G332"/>
    <mergeCell ref="H332:K332"/>
    <mergeCell ref="L332:O332"/>
    <mergeCell ref="P332:S332"/>
    <mergeCell ref="T332:W332"/>
    <mergeCell ref="X332:AA332"/>
    <mergeCell ref="AB332:AE332"/>
    <mergeCell ref="AF332:AI332"/>
    <mergeCell ref="AJ332:AM332"/>
    <mergeCell ref="AN332:AQ332"/>
    <mergeCell ref="C335:E335"/>
    <mergeCell ref="F335:K335"/>
    <mergeCell ref="L335:M335"/>
    <mergeCell ref="AI335:AL335"/>
    <mergeCell ref="AN335:AQ335"/>
    <mergeCell ref="AT335:AY335"/>
    <mergeCell ref="C336:E336"/>
    <mergeCell ref="F336:K336"/>
    <mergeCell ref="L336:M336"/>
    <mergeCell ref="AI336:AL336"/>
    <mergeCell ref="AN336:AQ336"/>
    <mergeCell ref="AT336:AV336"/>
    <mergeCell ref="AW336:AY336"/>
    <mergeCell ref="AT337:AV337"/>
    <mergeCell ref="AW337:AY337"/>
    <mergeCell ref="D338:G338"/>
    <mergeCell ref="H338:K338"/>
    <mergeCell ref="L338:O338"/>
    <mergeCell ref="P338:S338"/>
    <mergeCell ref="T338:W338"/>
    <mergeCell ref="X338:AA338"/>
    <mergeCell ref="AB338:AE338"/>
    <mergeCell ref="AF338:AI338"/>
    <mergeCell ref="AJ338:AM338"/>
    <mergeCell ref="AN338:AQ338"/>
    <mergeCell ref="A339:C339"/>
    <mergeCell ref="D339:G339"/>
    <mergeCell ref="H339:K339"/>
    <mergeCell ref="L339:O339"/>
    <mergeCell ref="P339:S339"/>
    <mergeCell ref="T339:W339"/>
    <mergeCell ref="X339:AA339"/>
    <mergeCell ref="AB339:AE339"/>
    <mergeCell ref="AF339:AI339"/>
    <mergeCell ref="AJ339:AM339"/>
    <mergeCell ref="AN339:AQ339"/>
    <mergeCell ref="D340:G340"/>
    <mergeCell ref="H340:K340"/>
    <mergeCell ref="L340:O340"/>
    <mergeCell ref="P340:S340"/>
    <mergeCell ref="T340:W340"/>
    <mergeCell ref="X340:AA340"/>
    <mergeCell ref="AB340:AE340"/>
    <mergeCell ref="AF340:AI340"/>
    <mergeCell ref="AJ340:AM340"/>
    <mergeCell ref="AN340:AQ340"/>
    <mergeCell ref="C343:E343"/>
    <mergeCell ref="F343:K343"/>
    <mergeCell ref="L343:M343"/>
    <mergeCell ref="AI343:AL343"/>
    <mergeCell ref="AN343:AQ343"/>
    <mergeCell ref="AT343:AY343"/>
    <mergeCell ref="C344:E344"/>
    <mergeCell ref="F344:K344"/>
    <mergeCell ref="L344:M344"/>
    <mergeCell ref="AI344:AL344"/>
    <mergeCell ref="AN344:AQ344"/>
    <mergeCell ref="AT344:AV344"/>
    <mergeCell ref="AW344:AY344"/>
    <mergeCell ref="AT345:AV345"/>
    <mergeCell ref="AW345:AY345"/>
    <mergeCell ref="D346:G346"/>
    <mergeCell ref="H346:K346"/>
    <mergeCell ref="L346:O346"/>
    <mergeCell ref="P346:S346"/>
    <mergeCell ref="T346:W346"/>
    <mergeCell ref="X346:AA346"/>
    <mergeCell ref="AB346:AE346"/>
    <mergeCell ref="AF346:AI346"/>
    <mergeCell ref="AJ346:AM346"/>
    <mergeCell ref="AN346:AQ346"/>
    <mergeCell ref="A347:C347"/>
    <mergeCell ref="D347:G347"/>
    <mergeCell ref="H347:K347"/>
    <mergeCell ref="L347:O347"/>
    <mergeCell ref="P347:S347"/>
    <mergeCell ref="T347:W347"/>
    <mergeCell ref="X347:AA347"/>
    <mergeCell ref="AB347:AE347"/>
    <mergeCell ref="AF347:AI347"/>
    <mergeCell ref="AJ347:AM347"/>
    <mergeCell ref="AN347:AQ347"/>
    <mergeCell ref="D348:G348"/>
    <mergeCell ref="H348:K348"/>
    <mergeCell ref="L348:O348"/>
    <mergeCell ref="P348:S348"/>
    <mergeCell ref="T348:W348"/>
    <mergeCell ref="X348:AA348"/>
    <mergeCell ref="AB348:AE348"/>
    <mergeCell ref="AF348:AI348"/>
    <mergeCell ref="AJ348:AM348"/>
    <mergeCell ref="AN348:AQ348"/>
    <mergeCell ref="C351:E351"/>
    <mergeCell ref="F351:K351"/>
    <mergeCell ref="L351:M351"/>
    <mergeCell ref="AI351:AL351"/>
    <mergeCell ref="AN351:AQ351"/>
    <mergeCell ref="AT351:AY351"/>
    <mergeCell ref="C352:E352"/>
    <mergeCell ref="F352:K352"/>
    <mergeCell ref="L352:M352"/>
    <mergeCell ref="AI352:AL352"/>
    <mergeCell ref="AN352:AQ352"/>
    <mergeCell ref="AT352:AV352"/>
    <mergeCell ref="AW352:AY352"/>
    <mergeCell ref="AT353:AV353"/>
    <mergeCell ref="AW353:AY353"/>
    <mergeCell ref="D354:G354"/>
    <mergeCell ref="H354:K354"/>
    <mergeCell ref="L354:O354"/>
    <mergeCell ref="P354:S354"/>
    <mergeCell ref="T354:W354"/>
    <mergeCell ref="X354:AA354"/>
    <mergeCell ref="AB354:AE354"/>
    <mergeCell ref="AF354:AI354"/>
    <mergeCell ref="AJ354:AM354"/>
    <mergeCell ref="AN354:AQ354"/>
    <mergeCell ref="A355:C355"/>
    <mergeCell ref="D355:G355"/>
    <mergeCell ref="H355:K355"/>
    <mergeCell ref="L355:O355"/>
    <mergeCell ref="P355:S355"/>
    <mergeCell ref="T355:W355"/>
    <mergeCell ref="X355:AA355"/>
    <mergeCell ref="AB355:AE355"/>
    <mergeCell ref="AF355:AI355"/>
    <mergeCell ref="AJ355:AM355"/>
    <mergeCell ref="AN355:AQ355"/>
    <mergeCell ref="D356:G356"/>
    <mergeCell ref="H356:K356"/>
    <mergeCell ref="L356:O356"/>
    <mergeCell ref="P356:S356"/>
    <mergeCell ref="T356:W356"/>
    <mergeCell ref="X356:AA356"/>
    <mergeCell ref="AB356:AE356"/>
    <mergeCell ref="AF356:AI356"/>
    <mergeCell ref="AJ356:AM356"/>
    <mergeCell ref="AN356:AQ356"/>
    <mergeCell ref="C359:E359"/>
    <mergeCell ref="F359:K359"/>
    <mergeCell ref="L359:M359"/>
    <mergeCell ref="AI359:AL359"/>
    <mergeCell ref="AN359:AQ359"/>
    <mergeCell ref="AT359:AY359"/>
    <mergeCell ref="C360:E360"/>
    <mergeCell ref="F360:K360"/>
    <mergeCell ref="L360:M360"/>
    <mergeCell ref="AI360:AL360"/>
    <mergeCell ref="AN360:AQ360"/>
    <mergeCell ref="AT360:AV360"/>
    <mergeCell ref="AW360:AY360"/>
    <mergeCell ref="AT361:AV361"/>
    <mergeCell ref="AW361:AY361"/>
    <mergeCell ref="D362:G362"/>
    <mergeCell ref="H362:K362"/>
    <mergeCell ref="L362:O362"/>
    <mergeCell ref="P362:S362"/>
    <mergeCell ref="T362:W362"/>
    <mergeCell ref="X362:AA362"/>
    <mergeCell ref="AB362:AE362"/>
    <mergeCell ref="AF362:AI362"/>
    <mergeCell ref="AJ362:AM362"/>
    <mergeCell ref="AN362:AQ362"/>
    <mergeCell ref="A363:C363"/>
    <mergeCell ref="D363:G363"/>
    <mergeCell ref="H363:K363"/>
    <mergeCell ref="L363:O363"/>
    <mergeCell ref="P363:S363"/>
    <mergeCell ref="T363:W363"/>
    <mergeCell ref="X363:AA363"/>
    <mergeCell ref="AB363:AE363"/>
    <mergeCell ref="AF363:AI363"/>
    <mergeCell ref="AJ363:AM363"/>
    <mergeCell ref="AN363:AQ363"/>
    <mergeCell ref="D364:G364"/>
    <mergeCell ref="H364:K364"/>
    <mergeCell ref="L364:O364"/>
    <mergeCell ref="P364:S364"/>
    <mergeCell ref="T364:W364"/>
    <mergeCell ref="X364:AA364"/>
    <mergeCell ref="AB364:AE364"/>
    <mergeCell ref="AF364:AI364"/>
    <mergeCell ref="AJ364:AM364"/>
    <mergeCell ref="AN364:AQ364"/>
    <mergeCell ref="C367:E367"/>
    <mergeCell ref="F367:K367"/>
    <mergeCell ref="L367:M367"/>
    <mergeCell ref="AI367:AL367"/>
    <mergeCell ref="AN367:AQ367"/>
    <mergeCell ref="AT367:AY367"/>
    <mergeCell ref="C368:E368"/>
    <mergeCell ref="F368:K368"/>
    <mergeCell ref="L368:M368"/>
    <mergeCell ref="AI368:AL368"/>
    <mergeCell ref="AN368:AQ368"/>
    <mergeCell ref="AT368:AV368"/>
    <mergeCell ref="AW368:AY368"/>
    <mergeCell ref="AT369:AV369"/>
    <mergeCell ref="AW369:AY369"/>
    <mergeCell ref="D370:G370"/>
    <mergeCell ref="H370:K370"/>
    <mergeCell ref="L370:O370"/>
    <mergeCell ref="P370:S370"/>
    <mergeCell ref="T370:W370"/>
    <mergeCell ref="X370:AA370"/>
    <mergeCell ref="AB370:AE370"/>
    <mergeCell ref="AF370:AI370"/>
    <mergeCell ref="AJ370:AM370"/>
    <mergeCell ref="AN370:AQ370"/>
    <mergeCell ref="A371:C371"/>
    <mergeCell ref="D371:G371"/>
    <mergeCell ref="H371:K371"/>
    <mergeCell ref="L371:O371"/>
    <mergeCell ref="P371:S371"/>
    <mergeCell ref="T371:W371"/>
    <mergeCell ref="X371:AA371"/>
    <mergeCell ref="AB371:AE371"/>
    <mergeCell ref="AF371:AI371"/>
    <mergeCell ref="AJ371:AM371"/>
    <mergeCell ref="AN371:AQ371"/>
    <mergeCell ref="D372:G372"/>
    <mergeCell ref="H372:K372"/>
    <mergeCell ref="L372:O372"/>
    <mergeCell ref="P372:S372"/>
    <mergeCell ref="T372:W372"/>
    <mergeCell ref="X372:AA372"/>
    <mergeCell ref="AB372:AE372"/>
    <mergeCell ref="AF372:AI372"/>
    <mergeCell ref="AJ372:AM372"/>
    <mergeCell ref="AN372:AQ372"/>
    <mergeCell ref="C375:E375"/>
    <mergeCell ref="F375:K375"/>
    <mergeCell ref="L375:M375"/>
    <mergeCell ref="AI375:AL375"/>
    <mergeCell ref="AN375:AQ375"/>
    <mergeCell ref="AT375:AY375"/>
    <mergeCell ref="C376:E376"/>
    <mergeCell ref="F376:K376"/>
    <mergeCell ref="L376:M376"/>
    <mergeCell ref="AI376:AL376"/>
    <mergeCell ref="AN376:AQ376"/>
    <mergeCell ref="AT376:AV376"/>
    <mergeCell ref="AW376:AY376"/>
    <mergeCell ref="AT377:AV377"/>
    <mergeCell ref="AW377:AY377"/>
    <mergeCell ref="D378:G378"/>
    <mergeCell ref="H378:K378"/>
    <mergeCell ref="L378:O378"/>
    <mergeCell ref="P378:S378"/>
    <mergeCell ref="T378:W378"/>
    <mergeCell ref="X378:AA378"/>
    <mergeCell ref="AB378:AE378"/>
    <mergeCell ref="AF378:AI378"/>
    <mergeCell ref="AJ378:AM378"/>
    <mergeCell ref="AN378:AQ378"/>
    <mergeCell ref="A379:C379"/>
    <mergeCell ref="D379:G379"/>
    <mergeCell ref="H379:K379"/>
    <mergeCell ref="L379:O379"/>
    <mergeCell ref="P379:S379"/>
    <mergeCell ref="T379:W379"/>
    <mergeCell ref="X379:AA379"/>
    <mergeCell ref="AB379:AE379"/>
    <mergeCell ref="AF379:AI379"/>
    <mergeCell ref="AJ379:AM379"/>
    <mergeCell ref="AN379:AQ379"/>
    <mergeCell ref="D380:G380"/>
    <mergeCell ref="H380:K380"/>
    <mergeCell ref="L380:O380"/>
    <mergeCell ref="P380:S380"/>
    <mergeCell ref="T380:W380"/>
    <mergeCell ref="X380:AA380"/>
    <mergeCell ref="AB380:AE380"/>
    <mergeCell ref="AF380:AI380"/>
    <mergeCell ref="AJ380:AM380"/>
    <mergeCell ref="AN380:AQ380"/>
    <mergeCell ref="C383:E383"/>
    <mergeCell ref="F383:K383"/>
    <mergeCell ref="L383:M383"/>
    <mergeCell ref="AI383:AL383"/>
    <mergeCell ref="AN383:AQ383"/>
    <mergeCell ref="AT383:AY383"/>
    <mergeCell ref="C384:E384"/>
    <mergeCell ref="F384:K384"/>
    <mergeCell ref="L384:M384"/>
    <mergeCell ref="AI384:AL384"/>
    <mergeCell ref="AN384:AQ384"/>
    <mergeCell ref="AT384:AV384"/>
    <mergeCell ref="AW384:AY384"/>
    <mergeCell ref="AT385:AV385"/>
    <mergeCell ref="AW385:AY385"/>
    <mergeCell ref="D386:G386"/>
    <mergeCell ref="H386:K386"/>
    <mergeCell ref="L386:O386"/>
    <mergeCell ref="P386:S386"/>
    <mergeCell ref="T386:W386"/>
    <mergeCell ref="X386:AA386"/>
    <mergeCell ref="AB386:AE386"/>
    <mergeCell ref="AF386:AI386"/>
    <mergeCell ref="AJ386:AM386"/>
    <mergeCell ref="AN386:AQ386"/>
    <mergeCell ref="A387:C387"/>
    <mergeCell ref="D387:G387"/>
    <mergeCell ref="H387:K387"/>
    <mergeCell ref="L387:O387"/>
    <mergeCell ref="P387:S387"/>
    <mergeCell ref="T387:W387"/>
    <mergeCell ref="X387:AA387"/>
    <mergeCell ref="AB387:AE387"/>
    <mergeCell ref="AF387:AI387"/>
    <mergeCell ref="AJ387:AM387"/>
    <mergeCell ref="AN387:AQ387"/>
    <mergeCell ref="D388:G388"/>
    <mergeCell ref="H388:K388"/>
    <mergeCell ref="L388:O388"/>
    <mergeCell ref="P388:S388"/>
    <mergeCell ref="T388:W388"/>
    <mergeCell ref="X388:AA388"/>
    <mergeCell ref="AB388:AE388"/>
    <mergeCell ref="AF388:AI388"/>
    <mergeCell ref="AJ388:AM388"/>
    <mergeCell ref="AN388:AQ388"/>
    <mergeCell ref="C391:E391"/>
    <mergeCell ref="F391:K391"/>
    <mergeCell ref="L391:M391"/>
    <mergeCell ref="AI391:AL391"/>
    <mergeCell ref="AN391:AQ391"/>
    <mergeCell ref="AT391:AY391"/>
    <mergeCell ref="C392:E392"/>
    <mergeCell ref="F392:K392"/>
    <mergeCell ref="L392:M392"/>
    <mergeCell ref="AI392:AL392"/>
    <mergeCell ref="AN392:AQ392"/>
    <mergeCell ref="AT392:AV392"/>
    <mergeCell ref="AW392:AY392"/>
    <mergeCell ref="AT393:AV393"/>
    <mergeCell ref="AW393:AY393"/>
    <mergeCell ref="D394:G394"/>
    <mergeCell ref="H394:K394"/>
    <mergeCell ref="L394:O394"/>
    <mergeCell ref="P394:S394"/>
    <mergeCell ref="T394:W394"/>
    <mergeCell ref="X394:AA394"/>
    <mergeCell ref="AB394:AE394"/>
    <mergeCell ref="AF394:AI394"/>
    <mergeCell ref="AJ394:AM394"/>
    <mergeCell ref="AN394:AQ394"/>
    <mergeCell ref="A395:C395"/>
    <mergeCell ref="D395:G395"/>
    <mergeCell ref="H395:K395"/>
    <mergeCell ref="L395:O395"/>
    <mergeCell ref="P395:S395"/>
    <mergeCell ref="T395:W395"/>
    <mergeCell ref="X395:AA395"/>
    <mergeCell ref="AB395:AE395"/>
    <mergeCell ref="AF395:AI395"/>
    <mergeCell ref="AJ395:AM395"/>
    <mergeCell ref="AN395:AQ395"/>
    <mergeCell ref="D396:G396"/>
    <mergeCell ref="H396:K396"/>
    <mergeCell ref="L396:O396"/>
    <mergeCell ref="P396:S396"/>
    <mergeCell ref="T396:W396"/>
    <mergeCell ref="X396:AA396"/>
    <mergeCell ref="AB396:AE396"/>
    <mergeCell ref="AF396:AI396"/>
    <mergeCell ref="AJ396:AM396"/>
    <mergeCell ref="AN396:AQ396"/>
    <mergeCell ref="C399:E399"/>
    <mergeCell ref="F399:K399"/>
    <mergeCell ref="L399:M399"/>
    <mergeCell ref="AI399:AL399"/>
    <mergeCell ref="AN399:AQ399"/>
    <mergeCell ref="AT399:AY399"/>
    <mergeCell ref="C400:E400"/>
    <mergeCell ref="F400:K400"/>
    <mergeCell ref="L400:M400"/>
    <mergeCell ref="AI400:AL400"/>
    <mergeCell ref="AN400:AQ400"/>
    <mergeCell ref="AT400:AV400"/>
    <mergeCell ref="AW400:AY400"/>
    <mergeCell ref="AT401:AV401"/>
    <mergeCell ref="AW401:AY401"/>
    <mergeCell ref="D402:G402"/>
    <mergeCell ref="H402:K402"/>
    <mergeCell ref="L402:O402"/>
    <mergeCell ref="P402:S402"/>
    <mergeCell ref="T402:W402"/>
    <mergeCell ref="X402:AA402"/>
    <mergeCell ref="AB402:AE402"/>
    <mergeCell ref="AF402:AI402"/>
    <mergeCell ref="AJ402:AM402"/>
    <mergeCell ref="AN402:AQ402"/>
    <mergeCell ref="A403:C403"/>
    <mergeCell ref="D403:G403"/>
    <mergeCell ref="H403:K403"/>
    <mergeCell ref="L403:O403"/>
    <mergeCell ref="P403:S403"/>
    <mergeCell ref="T403:W403"/>
    <mergeCell ref="X403:AA403"/>
    <mergeCell ref="AB403:AE403"/>
    <mergeCell ref="AF403:AI403"/>
    <mergeCell ref="AJ403:AM403"/>
    <mergeCell ref="AN403:AQ403"/>
    <mergeCell ref="D404:G404"/>
    <mergeCell ref="H404:K404"/>
    <mergeCell ref="L404:O404"/>
    <mergeCell ref="P404:S404"/>
    <mergeCell ref="T404:W404"/>
    <mergeCell ref="X404:AA404"/>
    <mergeCell ref="AB404:AE404"/>
    <mergeCell ref="AF404:AI404"/>
    <mergeCell ref="AJ404:AM404"/>
    <mergeCell ref="AN404:AQ404"/>
    <mergeCell ref="C407:E407"/>
    <mergeCell ref="F407:K407"/>
    <mergeCell ref="L407:M407"/>
    <mergeCell ref="AI407:AL407"/>
    <mergeCell ref="AN407:AQ407"/>
    <mergeCell ref="AT407:AY407"/>
    <mergeCell ref="C408:E408"/>
    <mergeCell ref="F408:K408"/>
    <mergeCell ref="L408:M408"/>
    <mergeCell ref="AI408:AL408"/>
    <mergeCell ref="AN408:AQ408"/>
    <mergeCell ref="AT408:AV408"/>
    <mergeCell ref="AW408:AY408"/>
    <mergeCell ref="AT409:AV409"/>
    <mergeCell ref="AW409:AY409"/>
    <mergeCell ref="D410:G410"/>
    <mergeCell ref="H410:K410"/>
    <mergeCell ref="L410:O410"/>
    <mergeCell ref="P410:S410"/>
    <mergeCell ref="T410:W410"/>
    <mergeCell ref="X410:AA410"/>
    <mergeCell ref="AB410:AE410"/>
    <mergeCell ref="AF410:AI410"/>
    <mergeCell ref="AJ410:AM410"/>
    <mergeCell ref="AN410:AQ410"/>
    <mergeCell ref="A411:C411"/>
    <mergeCell ref="D411:G411"/>
    <mergeCell ref="H411:K411"/>
    <mergeCell ref="L411:O411"/>
    <mergeCell ref="P411:S411"/>
    <mergeCell ref="T411:W411"/>
    <mergeCell ref="X411:AA411"/>
    <mergeCell ref="AB411:AE411"/>
    <mergeCell ref="AF411:AI411"/>
    <mergeCell ref="AJ411:AM411"/>
    <mergeCell ref="AN411:AQ411"/>
    <mergeCell ref="D412:G412"/>
    <mergeCell ref="H412:K412"/>
    <mergeCell ref="L412:O412"/>
    <mergeCell ref="P412:S412"/>
    <mergeCell ref="T412:W412"/>
    <mergeCell ref="X412:AA412"/>
    <mergeCell ref="AB412:AE412"/>
    <mergeCell ref="AF412:AI412"/>
    <mergeCell ref="AJ412:AM412"/>
    <mergeCell ref="AN412:AQ412"/>
    <mergeCell ref="C415:E415"/>
    <mergeCell ref="F415:K415"/>
    <mergeCell ref="L415:M415"/>
    <mergeCell ref="AI415:AL415"/>
    <mergeCell ref="AN415:AQ415"/>
    <mergeCell ref="AT415:AY415"/>
    <mergeCell ref="C416:E416"/>
    <mergeCell ref="F416:K416"/>
    <mergeCell ref="L416:M416"/>
    <mergeCell ref="AI416:AL416"/>
    <mergeCell ref="AN416:AQ416"/>
    <mergeCell ref="AT416:AV416"/>
    <mergeCell ref="AW416:AY416"/>
    <mergeCell ref="AT417:AV417"/>
    <mergeCell ref="AW417:AY417"/>
    <mergeCell ref="D418:G418"/>
    <mergeCell ref="H418:K418"/>
    <mergeCell ref="L418:O418"/>
    <mergeCell ref="P418:S418"/>
    <mergeCell ref="T418:W418"/>
    <mergeCell ref="X418:AA418"/>
    <mergeCell ref="AB418:AE418"/>
    <mergeCell ref="AF418:AI418"/>
    <mergeCell ref="AJ418:AM418"/>
    <mergeCell ref="AN418:AQ418"/>
    <mergeCell ref="A419:C419"/>
    <mergeCell ref="D419:G419"/>
    <mergeCell ref="H419:K419"/>
    <mergeCell ref="L419:O419"/>
    <mergeCell ref="P419:S419"/>
    <mergeCell ref="T419:W419"/>
    <mergeCell ref="X419:AA419"/>
    <mergeCell ref="AB419:AE419"/>
    <mergeCell ref="AF419:AI419"/>
    <mergeCell ref="AJ419:AM419"/>
    <mergeCell ref="AN419:AQ419"/>
    <mergeCell ref="D420:G420"/>
    <mergeCell ref="H420:K420"/>
    <mergeCell ref="L420:O420"/>
    <mergeCell ref="P420:S420"/>
    <mergeCell ref="T420:W420"/>
    <mergeCell ref="X420:AA420"/>
    <mergeCell ref="AB420:AE420"/>
    <mergeCell ref="AF420:AI420"/>
    <mergeCell ref="AJ420:AM420"/>
    <mergeCell ref="AN420:AQ420"/>
    <mergeCell ref="C423:E423"/>
    <mergeCell ref="F423:K423"/>
    <mergeCell ref="L423:M423"/>
    <mergeCell ref="AI423:AL423"/>
    <mergeCell ref="AN423:AQ423"/>
    <mergeCell ref="AT423:AY423"/>
    <mergeCell ref="C424:E424"/>
    <mergeCell ref="F424:K424"/>
    <mergeCell ref="L424:M424"/>
    <mergeCell ref="AI424:AL424"/>
    <mergeCell ref="AN424:AQ424"/>
    <mergeCell ref="AT424:AV424"/>
    <mergeCell ref="AW424:AY424"/>
    <mergeCell ref="AT425:AV425"/>
    <mergeCell ref="AW425:AY425"/>
    <mergeCell ref="D426:G426"/>
    <mergeCell ref="H426:K426"/>
    <mergeCell ref="L426:O426"/>
    <mergeCell ref="P426:S426"/>
    <mergeCell ref="T426:W426"/>
    <mergeCell ref="X426:AA426"/>
    <mergeCell ref="AB426:AE426"/>
    <mergeCell ref="AF426:AI426"/>
    <mergeCell ref="AJ426:AM426"/>
    <mergeCell ref="AN426:AQ426"/>
    <mergeCell ref="A427:C427"/>
    <mergeCell ref="D427:G427"/>
    <mergeCell ref="H427:K427"/>
    <mergeCell ref="L427:O427"/>
    <mergeCell ref="P427:S427"/>
    <mergeCell ref="T427:W427"/>
    <mergeCell ref="X427:AA427"/>
    <mergeCell ref="AB427:AE427"/>
    <mergeCell ref="AF427:AI427"/>
    <mergeCell ref="AJ427:AM427"/>
    <mergeCell ref="AN427:AQ427"/>
    <mergeCell ref="D428:G428"/>
    <mergeCell ref="H428:K428"/>
    <mergeCell ref="L428:O428"/>
    <mergeCell ref="P428:S428"/>
    <mergeCell ref="T428:W428"/>
    <mergeCell ref="X428:AA428"/>
    <mergeCell ref="AB428:AE428"/>
    <mergeCell ref="AF428:AI428"/>
    <mergeCell ref="AJ428:AM428"/>
    <mergeCell ref="AN428:AQ428"/>
    <mergeCell ref="C431:E431"/>
    <mergeCell ref="F431:K431"/>
    <mergeCell ref="L431:M431"/>
    <mergeCell ref="AI431:AL431"/>
    <mergeCell ref="AN431:AQ431"/>
    <mergeCell ref="AT431:AY431"/>
    <mergeCell ref="C432:E432"/>
    <mergeCell ref="F432:K432"/>
    <mergeCell ref="L432:M432"/>
    <mergeCell ref="AI432:AL432"/>
    <mergeCell ref="AN432:AQ432"/>
    <mergeCell ref="AT432:AV432"/>
    <mergeCell ref="AW432:AY432"/>
    <mergeCell ref="AT433:AV433"/>
    <mergeCell ref="AW433:AY433"/>
    <mergeCell ref="D434:G434"/>
    <mergeCell ref="H434:K434"/>
    <mergeCell ref="L434:O434"/>
    <mergeCell ref="P434:S434"/>
    <mergeCell ref="T434:W434"/>
    <mergeCell ref="X434:AA434"/>
    <mergeCell ref="AB434:AE434"/>
    <mergeCell ref="AF434:AI434"/>
    <mergeCell ref="AJ434:AM434"/>
    <mergeCell ref="AN434:AQ434"/>
    <mergeCell ref="A435:C435"/>
    <mergeCell ref="D435:G435"/>
    <mergeCell ref="H435:K435"/>
    <mergeCell ref="L435:O435"/>
    <mergeCell ref="P435:S435"/>
    <mergeCell ref="T435:W435"/>
    <mergeCell ref="X435:AA435"/>
    <mergeCell ref="AB435:AE435"/>
    <mergeCell ref="AF435:AI435"/>
    <mergeCell ref="AJ435:AM435"/>
    <mergeCell ref="AN435:AQ435"/>
    <mergeCell ref="D436:G436"/>
    <mergeCell ref="H436:K436"/>
    <mergeCell ref="L436:O436"/>
    <mergeCell ref="P436:S436"/>
    <mergeCell ref="T436:W436"/>
    <mergeCell ref="X436:AA436"/>
    <mergeCell ref="AB436:AE436"/>
    <mergeCell ref="AF436:AI436"/>
    <mergeCell ref="AJ436:AM436"/>
    <mergeCell ref="AN436:AQ436"/>
    <mergeCell ref="C439:E439"/>
    <mergeCell ref="F439:K439"/>
    <mergeCell ref="L439:M439"/>
    <mergeCell ref="AI439:AL439"/>
    <mergeCell ref="AN439:AQ439"/>
    <mergeCell ref="AT439:AY439"/>
    <mergeCell ref="C440:E440"/>
    <mergeCell ref="F440:K440"/>
    <mergeCell ref="L440:M440"/>
    <mergeCell ref="AI440:AL440"/>
    <mergeCell ref="AN440:AQ440"/>
    <mergeCell ref="AT440:AV440"/>
    <mergeCell ref="AW440:AY440"/>
    <mergeCell ref="AT441:AV441"/>
    <mergeCell ref="AW441:AY441"/>
    <mergeCell ref="D442:G442"/>
    <mergeCell ref="H442:K442"/>
    <mergeCell ref="L442:O442"/>
    <mergeCell ref="P442:S442"/>
    <mergeCell ref="T442:W442"/>
    <mergeCell ref="X442:AA442"/>
    <mergeCell ref="AB442:AE442"/>
    <mergeCell ref="AF442:AI442"/>
    <mergeCell ref="AJ442:AM442"/>
    <mergeCell ref="AN442:AQ442"/>
    <mergeCell ref="D444:G444"/>
    <mergeCell ref="H444:K444"/>
    <mergeCell ref="L444:O444"/>
    <mergeCell ref="P444:S444"/>
    <mergeCell ref="T444:W444"/>
    <mergeCell ref="X444:AA444"/>
    <mergeCell ref="AB444:AE444"/>
    <mergeCell ref="AF444:AI444"/>
    <mergeCell ref="AJ444:AM444"/>
    <mergeCell ref="AN444:AQ444"/>
    <mergeCell ref="C447:E447"/>
    <mergeCell ref="F447:K447"/>
    <mergeCell ref="L447:M447"/>
    <mergeCell ref="AI447:AL447"/>
    <mergeCell ref="AN447:AQ447"/>
    <mergeCell ref="A443:C443"/>
    <mergeCell ref="D443:G443"/>
    <mergeCell ref="H443:K443"/>
    <mergeCell ref="L443:O443"/>
    <mergeCell ref="P443:S443"/>
    <mergeCell ref="T443:W443"/>
    <mergeCell ref="X443:AA443"/>
    <mergeCell ref="AB443:AE443"/>
    <mergeCell ref="AF443:AI443"/>
    <mergeCell ref="AJ443:AM443"/>
    <mergeCell ref="AN443:AQ443"/>
    <mergeCell ref="AT447:AY447"/>
    <mergeCell ref="C448:E448"/>
    <mergeCell ref="F448:K448"/>
    <mergeCell ref="L448:M448"/>
    <mergeCell ref="AI448:AL448"/>
    <mergeCell ref="AN448:AQ448"/>
    <mergeCell ref="AT448:AV448"/>
    <mergeCell ref="AW448:AY448"/>
    <mergeCell ref="AT455:AY455"/>
    <mergeCell ref="C456:E456"/>
    <mergeCell ref="F456:K456"/>
    <mergeCell ref="L456:M456"/>
    <mergeCell ref="AI456:AL456"/>
    <mergeCell ref="AN456:AQ456"/>
    <mergeCell ref="AT456:AV456"/>
    <mergeCell ref="AW456:AY456"/>
    <mergeCell ref="AT449:AV449"/>
    <mergeCell ref="AW449:AY449"/>
    <mergeCell ref="D450:G450"/>
    <mergeCell ref="H450:K450"/>
    <mergeCell ref="L450:O450"/>
    <mergeCell ref="P450:S450"/>
    <mergeCell ref="T450:W450"/>
    <mergeCell ref="X450:AA450"/>
    <mergeCell ref="AB450:AE450"/>
    <mergeCell ref="AF450:AI450"/>
    <mergeCell ref="AJ450:AM450"/>
    <mergeCell ref="AN450:AQ450"/>
    <mergeCell ref="A451:C451"/>
    <mergeCell ref="D451:G451"/>
    <mergeCell ref="H451:K451"/>
    <mergeCell ref="L451:O451"/>
    <mergeCell ref="P451:S451"/>
    <mergeCell ref="T451:W451"/>
    <mergeCell ref="X451:AA451"/>
    <mergeCell ref="AB451:AE451"/>
    <mergeCell ref="AF451:AI451"/>
    <mergeCell ref="AJ451:AM451"/>
    <mergeCell ref="AN451:AQ451"/>
    <mergeCell ref="A459:C459"/>
    <mergeCell ref="D459:G459"/>
    <mergeCell ref="H459:K459"/>
    <mergeCell ref="L459:O459"/>
    <mergeCell ref="P459:S459"/>
    <mergeCell ref="T459:W459"/>
    <mergeCell ref="X459:AA459"/>
    <mergeCell ref="AB459:AE459"/>
    <mergeCell ref="AF459:AI459"/>
    <mergeCell ref="AJ459:AM459"/>
    <mergeCell ref="AN459:AQ459"/>
    <mergeCell ref="D452:G452"/>
    <mergeCell ref="H452:K452"/>
    <mergeCell ref="L452:O452"/>
    <mergeCell ref="P452:S452"/>
    <mergeCell ref="T452:W452"/>
    <mergeCell ref="X452:AA452"/>
    <mergeCell ref="AB452:AE452"/>
    <mergeCell ref="AF452:AI452"/>
    <mergeCell ref="AJ452:AM452"/>
    <mergeCell ref="AN452:AQ452"/>
    <mergeCell ref="C455:E455"/>
    <mergeCell ref="F455:K455"/>
    <mergeCell ref="L455:M455"/>
    <mergeCell ref="AI455:AL455"/>
    <mergeCell ref="AN455:AQ455"/>
    <mergeCell ref="D460:G460"/>
    <mergeCell ref="H460:K460"/>
    <mergeCell ref="L460:O460"/>
    <mergeCell ref="P460:S460"/>
    <mergeCell ref="T460:W460"/>
    <mergeCell ref="X460:AA460"/>
    <mergeCell ref="AB460:AE460"/>
    <mergeCell ref="AF460:AI460"/>
    <mergeCell ref="AJ460:AM460"/>
    <mergeCell ref="AN460:AQ460"/>
    <mergeCell ref="AT457:AV457"/>
    <mergeCell ref="AW457:AY457"/>
    <mergeCell ref="D458:G458"/>
    <mergeCell ref="H458:K458"/>
    <mergeCell ref="L458:O458"/>
    <mergeCell ref="P458:S458"/>
    <mergeCell ref="T458:W458"/>
    <mergeCell ref="X458:AA458"/>
    <mergeCell ref="AB458:AE458"/>
    <mergeCell ref="AF458:AI458"/>
    <mergeCell ref="AJ458:AM458"/>
    <mergeCell ref="AN458:AQ458"/>
    <mergeCell ref="C463:E463"/>
    <mergeCell ref="F463:K463"/>
    <mergeCell ref="L463:M463"/>
    <mergeCell ref="AI463:AL463"/>
    <mergeCell ref="AN463:AQ463"/>
    <mergeCell ref="AT463:AY463"/>
    <mergeCell ref="C464:E464"/>
    <mergeCell ref="F464:K464"/>
    <mergeCell ref="L464:M464"/>
    <mergeCell ref="AI464:AL464"/>
    <mergeCell ref="AN464:AQ464"/>
    <mergeCell ref="AT464:AV464"/>
    <mergeCell ref="AW464:AY464"/>
    <mergeCell ref="AT465:AV465"/>
    <mergeCell ref="AW465:AY465"/>
    <mergeCell ref="D466:G466"/>
    <mergeCell ref="H466:K466"/>
    <mergeCell ref="L466:O466"/>
    <mergeCell ref="P466:S466"/>
    <mergeCell ref="T466:W466"/>
    <mergeCell ref="X466:AA466"/>
    <mergeCell ref="AB466:AE466"/>
    <mergeCell ref="AF466:AI466"/>
    <mergeCell ref="AJ466:AM466"/>
    <mergeCell ref="AN466:AQ466"/>
    <mergeCell ref="A467:C467"/>
    <mergeCell ref="D467:G467"/>
    <mergeCell ref="H467:K467"/>
    <mergeCell ref="L467:O467"/>
    <mergeCell ref="P467:S467"/>
    <mergeCell ref="T467:W467"/>
    <mergeCell ref="X467:AA467"/>
    <mergeCell ref="AB467:AE467"/>
    <mergeCell ref="AF467:AI467"/>
    <mergeCell ref="AJ467:AM467"/>
    <mergeCell ref="AN467:AQ467"/>
    <mergeCell ref="D468:G468"/>
    <mergeCell ref="H468:K468"/>
    <mergeCell ref="L468:O468"/>
    <mergeCell ref="P468:S468"/>
    <mergeCell ref="T468:W468"/>
    <mergeCell ref="X468:AA468"/>
    <mergeCell ref="AB468:AE468"/>
    <mergeCell ref="AF468:AI468"/>
    <mergeCell ref="AJ468:AM468"/>
    <mergeCell ref="AN468:AQ468"/>
    <mergeCell ref="C471:E471"/>
    <mergeCell ref="F471:K471"/>
    <mergeCell ref="L471:M471"/>
    <mergeCell ref="AI471:AL471"/>
    <mergeCell ref="AN471:AQ471"/>
    <mergeCell ref="AT471:AY471"/>
    <mergeCell ref="C472:E472"/>
    <mergeCell ref="F472:K472"/>
    <mergeCell ref="L472:M472"/>
    <mergeCell ref="AI472:AL472"/>
    <mergeCell ref="AN472:AQ472"/>
    <mergeCell ref="AT472:AV472"/>
    <mergeCell ref="AW472:AY472"/>
    <mergeCell ref="AT473:AV473"/>
    <mergeCell ref="AW473:AY473"/>
    <mergeCell ref="D474:G474"/>
    <mergeCell ref="H474:K474"/>
    <mergeCell ref="L474:O474"/>
    <mergeCell ref="P474:S474"/>
    <mergeCell ref="T474:W474"/>
    <mergeCell ref="X474:AA474"/>
    <mergeCell ref="AB474:AE474"/>
    <mergeCell ref="AF474:AI474"/>
    <mergeCell ref="AJ474:AM474"/>
    <mergeCell ref="AN474:AQ474"/>
    <mergeCell ref="A475:C475"/>
    <mergeCell ref="D475:G475"/>
    <mergeCell ref="H475:K475"/>
    <mergeCell ref="L475:O475"/>
    <mergeCell ref="P475:S475"/>
    <mergeCell ref="T475:W475"/>
    <mergeCell ref="X475:AA475"/>
    <mergeCell ref="AB475:AE475"/>
    <mergeCell ref="AF475:AI475"/>
    <mergeCell ref="AJ475:AM475"/>
    <mergeCell ref="AN475:AQ475"/>
    <mergeCell ref="D476:G476"/>
    <mergeCell ref="H476:K476"/>
    <mergeCell ref="L476:O476"/>
    <mergeCell ref="P476:S476"/>
    <mergeCell ref="T476:W476"/>
    <mergeCell ref="X476:AA476"/>
    <mergeCell ref="AB476:AE476"/>
    <mergeCell ref="AF476:AI476"/>
    <mergeCell ref="AJ476:AM476"/>
    <mergeCell ref="AN476:AQ476"/>
    <mergeCell ref="C479:E479"/>
    <mergeCell ref="F479:K479"/>
    <mergeCell ref="L479:M479"/>
    <mergeCell ref="AI479:AL479"/>
    <mergeCell ref="AN479:AQ479"/>
    <mergeCell ref="AT479:AY479"/>
    <mergeCell ref="C480:E480"/>
    <mergeCell ref="F480:K480"/>
    <mergeCell ref="L480:M480"/>
    <mergeCell ref="AI480:AL480"/>
    <mergeCell ref="AN480:AQ480"/>
    <mergeCell ref="AT480:AV480"/>
    <mergeCell ref="AW480:AY480"/>
    <mergeCell ref="AT481:AV481"/>
    <mergeCell ref="AW481:AY481"/>
    <mergeCell ref="D482:G482"/>
    <mergeCell ref="H482:K482"/>
    <mergeCell ref="L482:O482"/>
    <mergeCell ref="P482:S482"/>
    <mergeCell ref="T482:W482"/>
    <mergeCell ref="X482:AA482"/>
    <mergeCell ref="AB482:AE482"/>
    <mergeCell ref="AF482:AI482"/>
    <mergeCell ref="AJ482:AM482"/>
    <mergeCell ref="AN482:AQ482"/>
    <mergeCell ref="A483:C483"/>
    <mergeCell ref="D483:G483"/>
    <mergeCell ref="H483:K483"/>
    <mergeCell ref="L483:O483"/>
    <mergeCell ref="P483:S483"/>
    <mergeCell ref="T483:W483"/>
    <mergeCell ref="X483:AA483"/>
    <mergeCell ref="AB483:AE483"/>
    <mergeCell ref="AF483:AI483"/>
    <mergeCell ref="AJ483:AM483"/>
    <mergeCell ref="AN483:AQ483"/>
    <mergeCell ref="D484:G484"/>
    <mergeCell ref="H484:K484"/>
    <mergeCell ref="L484:O484"/>
    <mergeCell ref="P484:S484"/>
    <mergeCell ref="T484:W484"/>
    <mergeCell ref="X484:AA484"/>
    <mergeCell ref="AB484:AE484"/>
    <mergeCell ref="AF484:AI484"/>
    <mergeCell ref="AJ484:AM484"/>
    <mergeCell ref="AN484:AQ484"/>
    <mergeCell ref="C487:E487"/>
    <mergeCell ref="F487:K487"/>
    <mergeCell ref="L487:M487"/>
    <mergeCell ref="AI487:AL487"/>
    <mergeCell ref="AN487:AQ487"/>
    <mergeCell ref="AT487:AY487"/>
    <mergeCell ref="C488:E488"/>
    <mergeCell ref="F488:K488"/>
    <mergeCell ref="L488:M488"/>
    <mergeCell ref="AI488:AL488"/>
    <mergeCell ref="AN488:AQ488"/>
    <mergeCell ref="AT488:AV488"/>
    <mergeCell ref="AW488:AY488"/>
    <mergeCell ref="AT489:AV489"/>
    <mergeCell ref="AW489:AY489"/>
    <mergeCell ref="D490:G490"/>
    <mergeCell ref="H490:K490"/>
    <mergeCell ref="L490:O490"/>
    <mergeCell ref="P490:S490"/>
    <mergeCell ref="T490:W490"/>
    <mergeCell ref="X490:AA490"/>
    <mergeCell ref="AB490:AE490"/>
    <mergeCell ref="AF490:AI490"/>
    <mergeCell ref="AJ490:AM490"/>
    <mergeCell ref="AN490:AQ490"/>
    <mergeCell ref="A491:C491"/>
    <mergeCell ref="D491:G491"/>
    <mergeCell ref="H491:K491"/>
    <mergeCell ref="L491:O491"/>
    <mergeCell ref="P491:S491"/>
    <mergeCell ref="T491:W491"/>
    <mergeCell ref="X491:AA491"/>
    <mergeCell ref="AB491:AE491"/>
    <mergeCell ref="AF491:AI491"/>
    <mergeCell ref="AJ491:AM491"/>
    <mergeCell ref="AN491:AQ491"/>
    <mergeCell ref="D492:G492"/>
    <mergeCell ref="H492:K492"/>
    <mergeCell ref="L492:O492"/>
    <mergeCell ref="P492:S492"/>
    <mergeCell ref="T492:W492"/>
    <mergeCell ref="X492:AA492"/>
    <mergeCell ref="AB492:AE492"/>
    <mergeCell ref="AF492:AI492"/>
    <mergeCell ref="AJ492:AM492"/>
    <mergeCell ref="AN492:AQ492"/>
    <mergeCell ref="C495:E495"/>
    <mergeCell ref="F495:K495"/>
    <mergeCell ref="L495:M495"/>
    <mergeCell ref="AI495:AL495"/>
    <mergeCell ref="AN495:AQ495"/>
    <mergeCell ref="AT495:AY495"/>
    <mergeCell ref="C496:E496"/>
    <mergeCell ref="F496:K496"/>
    <mergeCell ref="L496:M496"/>
    <mergeCell ref="AI496:AL496"/>
    <mergeCell ref="AN496:AQ496"/>
    <mergeCell ref="AT496:AV496"/>
    <mergeCell ref="AW496:AY496"/>
    <mergeCell ref="AT497:AV497"/>
    <mergeCell ref="AW497:AY497"/>
    <mergeCell ref="D498:G498"/>
    <mergeCell ref="H498:K498"/>
    <mergeCell ref="L498:O498"/>
    <mergeCell ref="P498:S498"/>
    <mergeCell ref="T498:W498"/>
    <mergeCell ref="X498:AA498"/>
    <mergeCell ref="AB498:AE498"/>
    <mergeCell ref="AF498:AI498"/>
    <mergeCell ref="AJ498:AM498"/>
    <mergeCell ref="AN498:AQ498"/>
    <mergeCell ref="A499:C499"/>
    <mergeCell ref="D499:G499"/>
    <mergeCell ref="H499:K499"/>
    <mergeCell ref="L499:O499"/>
    <mergeCell ref="P499:S499"/>
    <mergeCell ref="T499:W499"/>
    <mergeCell ref="X499:AA499"/>
    <mergeCell ref="AB499:AE499"/>
    <mergeCell ref="AF499:AI499"/>
    <mergeCell ref="AJ499:AM499"/>
    <mergeCell ref="AN499:AQ499"/>
    <mergeCell ref="D500:G500"/>
    <mergeCell ref="H500:K500"/>
    <mergeCell ref="L500:O500"/>
    <mergeCell ref="P500:S500"/>
    <mergeCell ref="T500:W500"/>
    <mergeCell ref="X500:AA500"/>
    <mergeCell ref="AB500:AE500"/>
    <mergeCell ref="AF500:AI500"/>
    <mergeCell ref="AJ500:AM500"/>
    <mergeCell ref="AN500:AQ500"/>
    <mergeCell ref="C503:E503"/>
    <mergeCell ref="F503:K503"/>
    <mergeCell ref="L503:M503"/>
    <mergeCell ref="AI503:AL503"/>
    <mergeCell ref="AN503:AQ503"/>
    <mergeCell ref="AT503:AY503"/>
    <mergeCell ref="C504:E504"/>
    <mergeCell ref="F504:K504"/>
    <mergeCell ref="L504:M504"/>
    <mergeCell ref="AI504:AL504"/>
    <mergeCell ref="AN504:AQ504"/>
    <mergeCell ref="AT504:AV504"/>
    <mergeCell ref="AW504:AY504"/>
    <mergeCell ref="AT505:AV505"/>
    <mergeCell ref="AW505:AY505"/>
    <mergeCell ref="D506:G506"/>
    <mergeCell ref="H506:K506"/>
    <mergeCell ref="L506:O506"/>
    <mergeCell ref="P506:S506"/>
    <mergeCell ref="T506:W506"/>
    <mergeCell ref="X506:AA506"/>
    <mergeCell ref="AB506:AE506"/>
    <mergeCell ref="AF506:AI506"/>
    <mergeCell ref="AJ506:AM506"/>
    <mergeCell ref="AN506:AQ506"/>
    <mergeCell ref="A507:C507"/>
    <mergeCell ref="D507:G507"/>
    <mergeCell ref="H507:K507"/>
    <mergeCell ref="L507:O507"/>
    <mergeCell ref="P507:S507"/>
    <mergeCell ref="T507:W507"/>
    <mergeCell ref="X507:AA507"/>
    <mergeCell ref="AB507:AE507"/>
    <mergeCell ref="AF507:AI507"/>
    <mergeCell ref="AJ507:AM507"/>
    <mergeCell ref="AN507:AQ507"/>
    <mergeCell ref="D508:G508"/>
    <mergeCell ref="H508:K508"/>
    <mergeCell ref="L508:O508"/>
    <mergeCell ref="P508:S508"/>
    <mergeCell ref="T508:W508"/>
    <mergeCell ref="X508:AA508"/>
    <mergeCell ref="AB508:AE508"/>
    <mergeCell ref="AF508:AI508"/>
    <mergeCell ref="AJ508:AM508"/>
    <mergeCell ref="AN508:AQ50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</dc:creator>
  <cp:lastModifiedBy>DELL</cp:lastModifiedBy>
  <dcterms:created xsi:type="dcterms:W3CDTF">2013-03-06T01:56:52Z</dcterms:created>
  <dcterms:modified xsi:type="dcterms:W3CDTF">2026-01-06T19:31:28Z</dcterms:modified>
</cp:coreProperties>
</file>