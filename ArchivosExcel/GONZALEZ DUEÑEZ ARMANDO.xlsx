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4B25D783-5E85-443B-9395-F81C078CA2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O753" i="1" l="1"/>
  <c r="AO745" i="1"/>
  <c r="AO737" i="1"/>
  <c r="AO729" i="1"/>
  <c r="AO721" i="1"/>
  <c r="AO713" i="1"/>
  <c r="AO697" i="1"/>
  <c r="AO689" i="1"/>
  <c r="AO681" i="1"/>
  <c r="AO673" i="1"/>
  <c r="AO665" i="1"/>
  <c r="AO657" i="1"/>
  <c r="AO649" i="1"/>
  <c r="AO641" i="1"/>
  <c r="AO633" i="1"/>
  <c r="AO625" i="1"/>
  <c r="AO617" i="1"/>
  <c r="AO609" i="1"/>
  <c r="AO601" i="1"/>
  <c r="AO593" i="1"/>
  <c r="AA6" i="1" l="1"/>
  <c r="AO585" i="1"/>
  <c r="AO577" i="1"/>
  <c r="AO569" i="1"/>
  <c r="AO561" i="1"/>
  <c r="AO553" i="1"/>
  <c r="AO545" i="1"/>
  <c r="AO537" i="1"/>
  <c r="AO528" i="1" l="1"/>
  <c r="AO520" i="1" l="1"/>
  <c r="AO512" i="1"/>
  <c r="AO504" i="1"/>
  <c r="AO496" i="1"/>
  <c r="AO488" i="1"/>
  <c r="AO480" i="1"/>
  <c r="AO472" i="1"/>
  <c r="AO464" i="1"/>
  <c r="AO456" i="1"/>
  <c r="AO448" i="1"/>
  <c r="AO440" i="1"/>
  <c r="AO432" i="1" l="1"/>
  <c r="AO424" i="1"/>
  <c r="AO416" i="1"/>
  <c r="AO408" i="1"/>
  <c r="AO400" i="1"/>
  <c r="AO392" i="1"/>
  <c r="AO384" i="1"/>
  <c r="AO376" i="1"/>
  <c r="AO368" i="1"/>
  <c r="AO360" i="1"/>
  <c r="AO352" i="1"/>
  <c r="AO344" i="1"/>
  <c r="AO336" i="1"/>
  <c r="AO328" i="1"/>
  <c r="AO320" i="1"/>
  <c r="AO312" i="1"/>
  <c r="AO304" i="1"/>
  <c r="AO296" i="1"/>
  <c r="AO288" i="1"/>
  <c r="AO280" i="1"/>
  <c r="AO272" i="1"/>
  <c r="AO264" i="1"/>
  <c r="AO256" i="1"/>
  <c r="AO248" i="1"/>
  <c r="AO240" i="1"/>
  <c r="AO232" i="1"/>
  <c r="AO224" i="1" l="1"/>
  <c r="AO216" i="1"/>
  <c r="AO208" i="1"/>
  <c r="AO200" i="1"/>
  <c r="AO192" i="1"/>
  <c r="AO184" i="1"/>
  <c r="AO176" i="1" l="1"/>
  <c r="AO168" i="1"/>
  <c r="AN160" i="1" l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 l="1"/>
</calcChain>
</file>

<file path=xl/sharedStrings.xml><?xml version="1.0" encoding="utf-8"?>
<sst xmlns="http://schemas.openxmlformats.org/spreadsheetml/2006/main" count="1796" uniqueCount="29">
  <si>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</si>
  <si>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</si>
  <si>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</si>
  <si>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</si>
  <si>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</si>
  <si>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</si>
  <si>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</si>
  <si>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</si>
  <si>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</si>
  <si>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</si>
  <si>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</si>
  <si>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</si>
  <si>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</si>
  <si>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</si>
  <si>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</si>
  <si>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</si>
  <si>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</si>
  <si>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</si>
  <si>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</si>
  <si>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</si>
  <si>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</si>
  <si>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</si>
  <si>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</si>
  <si>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>ARMANDO GONZALEZ DUEÑEZ</t>
  </si>
  <si>
    <t xml:space="preserve">NEPTUNO # 177 ( LA SOLEDAD ) </t>
  </si>
  <si>
    <t>total $250  4-q   $63     30-8 al 15-10</t>
  </si>
  <si>
    <t>trae tarjeta y no esta anotado el vale</t>
  </si>
  <si>
    <t>433-100-52-02</t>
  </si>
  <si>
    <t xml:space="preserve">ESPECIAL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</si>
</sst>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6" fontId="1" fillId="3" borderId="5" xfId="0" applyNumberFormat="1" applyFont="1" applyFill="1" applyBorder="1" applyAlignment="1">
      <alignment horizontal="center"/>
    </xf>
    <xf numFmtId="16" fontId="1" fillId="3" borderId="6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57"/>
  <sheetViews>
    <sheetView tabSelected="1" topLeftCell="A721" zoomScaleNormal="100" workbookViewId="0">
      <selection activeCell="M748" sqref="M748:P748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5"/>
      <c r="R2" s="53" t="s">
        <v>1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5"/>
      <c r="AI2" s="53" t="s">
        <v>2</v>
      </c>
      <c r="AJ2" s="54"/>
      <c r="AK2" s="54"/>
      <c r="AL2" s="54"/>
      <c r="AM2" s="54"/>
      <c r="AN2" s="54"/>
      <c r="AO2" s="54"/>
      <c r="AP2" s="54"/>
      <c r="AQ2" s="55"/>
    </row>
    <row r="3" spans="1:51" ht="15.75" thickBot="1" x14ac:dyDescent="0.3"/>
    <row r="4" spans="1:51" ht="15.75" thickBot="1" x14ac:dyDescent="0.3">
      <c r="B4" s="56" t="s">
        <v>23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8"/>
      <c r="R4" s="56" t="s">
        <v>24</v>
      </c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8"/>
      <c r="AI4" s="56" t="s">
        <v>27</v>
      </c>
      <c r="AJ4" s="57"/>
      <c r="AK4" s="57"/>
      <c r="AL4" s="57"/>
      <c r="AM4" s="57"/>
      <c r="AN4" s="57"/>
      <c r="AO4" s="57"/>
      <c r="AP4" s="57"/>
      <c r="AQ4" s="58"/>
    </row>
    <row r="5" spans="1:51" ht="15.75" thickBot="1" x14ac:dyDescent="0.3"/>
    <row r="6" spans="1:51" ht="15.75" thickBot="1" x14ac:dyDescent="0.3">
      <c r="Q6" s="62" t="s">
        <v>18</v>
      </c>
      <c r="R6" s="63"/>
      <c r="S6" s="63"/>
      <c r="T6" s="63"/>
      <c r="U6" s="63"/>
      <c r="V6" s="63"/>
      <c r="W6" s="63"/>
      <c r="X6" s="63"/>
      <c r="Y6" s="64"/>
      <c r="AA6" s="65">
        <f>AN8+AN16+AN24+AN32+AN40+AN48+AN56+AN64+AN72+AN80+AN88+AN96+AN104+AN112+AN120+AN128+AN136+AN144+AN152+AN160+AO168+AO176+AO184+AO192+AO200+AO208+AO216+AO224+AO232+AO240+AO248+AO256+AO264+AO272+AO280+AO288+AO296+AO304+AO312+AO320+AO328+AO336+AO344+AO352+AO360+AO368+AO376+AO384+AO392+AO400+AO408+AO416+AO424+AO432+AO440+AO448+AO456+AO464+AO472+AO480+AO488+AO496+AO504+AO512+AO520+AO528+AO537+AO545+AO553+AO561+AO569+AO577+AO585+AO593+AO601+AO609+AO617+AO625+AO633+AO641+AO649</f>
        <v>-24</v>
      </c>
      <c r="AB6" s="63"/>
      <c r="AC6" s="63"/>
      <c r="AD6" s="63"/>
      <c r="AE6" s="64"/>
    </row>
    <row r="7" spans="1:51" ht="15.75" thickBot="1" x14ac:dyDescent="0.3">
      <c r="B7" s="1">
        <v>1</v>
      </c>
      <c r="C7" s="15" t="s">
        <v>3</v>
      </c>
      <c r="D7" s="15"/>
      <c r="E7" s="15"/>
      <c r="F7" s="15" t="s">
        <v>4</v>
      </c>
      <c r="G7" s="15"/>
      <c r="H7" s="15"/>
      <c r="I7" s="15"/>
      <c r="J7" s="15"/>
      <c r="K7" s="15"/>
      <c r="L7" s="15" t="s">
        <v>5</v>
      </c>
      <c r="M7" s="15"/>
      <c r="AI7" s="16" t="s">
        <v>6</v>
      </c>
      <c r="AJ7" s="17"/>
      <c r="AK7" s="17"/>
      <c r="AL7" s="17"/>
      <c r="AN7" s="16" t="s">
        <v>7</v>
      </c>
      <c r="AO7" s="17"/>
      <c r="AP7" s="17"/>
      <c r="AQ7" s="17"/>
      <c r="AT7" s="39" t="s">
        <v>20</v>
      </c>
      <c r="AU7" s="40"/>
      <c r="AV7" s="40"/>
      <c r="AW7" s="40"/>
      <c r="AX7" s="40"/>
      <c r="AY7" s="41"/>
    </row>
    <row r="8" spans="1:51" ht="15.75" thickBot="1" x14ac:dyDescent="0.3">
      <c r="C8" s="22">
        <v>7236</v>
      </c>
      <c r="D8" s="23"/>
      <c r="E8" s="24"/>
      <c r="F8" s="25">
        <v>41348</v>
      </c>
      <c r="G8" s="26"/>
      <c r="H8" s="26"/>
      <c r="I8" s="26"/>
      <c r="J8" s="26"/>
      <c r="K8" s="27"/>
      <c r="L8" s="28">
        <v>5</v>
      </c>
      <c r="M8" s="28"/>
      <c r="AI8" s="29">
        <v>710</v>
      </c>
      <c r="AJ8" s="30"/>
      <c r="AK8" s="30"/>
      <c r="AL8" s="30"/>
      <c r="AN8" s="42">
        <f>AI8-D12-H12-L12-P12-T12-X12-AB12-AF12-AJ12-AN12</f>
        <v>0</v>
      </c>
      <c r="AO8" s="43"/>
      <c r="AP8" s="43"/>
      <c r="AQ8" s="43"/>
      <c r="AT8" s="44" t="s">
        <v>21</v>
      </c>
      <c r="AU8" s="45"/>
      <c r="AV8" s="45"/>
      <c r="AW8" s="45" t="s">
        <v>22</v>
      </c>
      <c r="AX8" s="45"/>
      <c r="AY8" s="46"/>
    </row>
    <row r="9" spans="1:51" ht="15.75" thickBot="1" x14ac:dyDescent="0.3">
      <c r="AT9" s="47">
        <v>5</v>
      </c>
      <c r="AU9" s="48"/>
      <c r="AV9" s="48"/>
      <c r="AW9" s="48">
        <v>9</v>
      </c>
      <c r="AX9" s="48"/>
      <c r="AY9" s="49"/>
    </row>
    <row r="10" spans="1:51" ht="15.75" thickBot="1" x14ac:dyDescent="0.3">
      <c r="D10" s="18" t="s">
        <v>8</v>
      </c>
      <c r="E10" s="8"/>
      <c r="F10" s="8"/>
      <c r="G10" s="8"/>
      <c r="H10" s="8" t="s">
        <v>9</v>
      </c>
      <c r="I10" s="8"/>
      <c r="J10" s="8"/>
      <c r="K10" s="8"/>
      <c r="L10" s="8" t="s">
        <v>10</v>
      </c>
      <c r="M10" s="8"/>
      <c r="N10" s="8"/>
      <c r="O10" s="8"/>
      <c r="P10" s="8" t="s">
        <v>11</v>
      </c>
      <c r="Q10" s="8"/>
      <c r="R10" s="8"/>
      <c r="S10" s="8"/>
      <c r="T10" s="8" t="s">
        <v>12</v>
      </c>
      <c r="U10" s="8"/>
      <c r="V10" s="8"/>
      <c r="W10" s="8"/>
      <c r="X10" s="8" t="s">
        <v>13</v>
      </c>
      <c r="Y10" s="8"/>
      <c r="Z10" s="8"/>
      <c r="AA10" s="8"/>
      <c r="AB10" s="8" t="s">
        <v>14</v>
      </c>
      <c r="AC10" s="8"/>
      <c r="AD10" s="8"/>
      <c r="AE10" s="8"/>
      <c r="AF10" s="8" t="s">
        <v>15</v>
      </c>
      <c r="AG10" s="8"/>
      <c r="AH10" s="8"/>
      <c r="AI10" s="8"/>
      <c r="AJ10" s="8" t="s">
        <v>16</v>
      </c>
      <c r="AK10" s="8"/>
      <c r="AL10" s="8"/>
      <c r="AM10" s="8"/>
      <c r="AN10" s="8" t="s">
        <v>17</v>
      </c>
      <c r="AO10" s="8"/>
      <c r="AP10" s="8"/>
      <c r="AQ10" s="10"/>
    </row>
    <row r="11" spans="1:51" ht="15.75" thickBot="1" x14ac:dyDescent="0.3">
      <c r="A11" s="4" t="s">
        <v>19</v>
      </c>
      <c r="B11" s="5"/>
      <c r="C11" s="6"/>
      <c r="D11" s="7">
        <v>41348</v>
      </c>
      <c r="E11" s="8"/>
      <c r="F11" s="8"/>
      <c r="G11" s="8"/>
      <c r="H11" s="9">
        <v>41363</v>
      </c>
      <c r="I11" s="8"/>
      <c r="J11" s="8"/>
      <c r="K11" s="8"/>
      <c r="L11" s="9">
        <v>41379</v>
      </c>
      <c r="M11" s="8"/>
      <c r="N11" s="8"/>
      <c r="O11" s="8"/>
      <c r="P11" s="9">
        <v>41394</v>
      </c>
      <c r="Q11" s="8"/>
      <c r="R11" s="8"/>
      <c r="S11" s="8"/>
      <c r="T11" s="9">
        <v>41407</v>
      </c>
      <c r="U11" s="8"/>
      <c r="V11" s="8"/>
      <c r="W11" s="8"/>
      <c r="X11" s="9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10"/>
    </row>
    <row r="12" spans="1:51" ht="15.75" thickBot="1" x14ac:dyDescent="0.3">
      <c r="D12" s="11">
        <v>142</v>
      </c>
      <c r="E12" s="12"/>
      <c r="F12" s="12"/>
      <c r="G12" s="12"/>
      <c r="H12" s="12">
        <v>142</v>
      </c>
      <c r="I12" s="12"/>
      <c r="J12" s="12"/>
      <c r="K12" s="12"/>
      <c r="L12" s="12">
        <v>142</v>
      </c>
      <c r="M12" s="12"/>
      <c r="N12" s="12"/>
      <c r="O12" s="12"/>
      <c r="P12" s="12">
        <v>142</v>
      </c>
      <c r="Q12" s="12"/>
      <c r="R12" s="12"/>
      <c r="S12" s="12"/>
      <c r="T12" s="12">
        <v>142</v>
      </c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3"/>
    </row>
    <row r="14" spans="1:51" ht="15.75" thickBot="1" x14ac:dyDescent="0.3"/>
    <row r="15" spans="1:51" ht="15.75" thickBot="1" x14ac:dyDescent="0.3">
      <c r="B15" s="1">
        <v>2</v>
      </c>
      <c r="C15" s="15" t="s">
        <v>3</v>
      </c>
      <c r="D15" s="15"/>
      <c r="E15" s="15"/>
      <c r="F15" s="15" t="s">
        <v>4</v>
      </c>
      <c r="G15" s="15"/>
      <c r="H15" s="15"/>
      <c r="I15" s="15"/>
      <c r="J15" s="15"/>
      <c r="K15" s="15"/>
      <c r="L15" s="15" t="s">
        <v>5</v>
      </c>
      <c r="M15" s="15"/>
      <c r="AI15" s="16" t="s">
        <v>6</v>
      </c>
      <c r="AJ15" s="17"/>
      <c r="AK15" s="17"/>
      <c r="AL15" s="17"/>
      <c r="AN15" s="16" t="s">
        <v>7</v>
      </c>
      <c r="AO15" s="17"/>
      <c r="AP15" s="17"/>
      <c r="AQ15" s="17"/>
      <c r="AT15" s="39" t="s">
        <v>20</v>
      </c>
      <c r="AU15" s="40"/>
      <c r="AV15" s="40"/>
      <c r="AW15" s="40"/>
      <c r="AX15" s="40"/>
      <c r="AY15" s="41"/>
    </row>
    <row r="16" spans="1:51" ht="15.75" thickBot="1" x14ac:dyDescent="0.3">
      <c r="C16" s="22"/>
      <c r="D16" s="23"/>
      <c r="E16" s="24"/>
      <c r="F16" s="25">
        <v>41424</v>
      </c>
      <c r="G16" s="26"/>
      <c r="H16" s="26"/>
      <c r="I16" s="26"/>
      <c r="J16" s="26"/>
      <c r="K16" s="27"/>
      <c r="L16" s="28">
        <v>4</v>
      </c>
      <c r="M16" s="28"/>
      <c r="AI16" s="29">
        <v>720</v>
      </c>
      <c r="AJ16" s="30"/>
      <c r="AK16" s="30"/>
      <c r="AL16" s="30"/>
      <c r="AN16" s="42">
        <f>AI16-D20-H20-L20-P20-T20-X20-AB20-AF20-AJ20-AN20</f>
        <v>0</v>
      </c>
      <c r="AO16" s="43"/>
      <c r="AP16" s="43"/>
      <c r="AQ16" s="43"/>
      <c r="AT16" s="44" t="s">
        <v>21</v>
      </c>
      <c r="AU16" s="45"/>
      <c r="AV16" s="45"/>
      <c r="AW16" s="45" t="s">
        <v>22</v>
      </c>
      <c r="AX16" s="45"/>
      <c r="AY16" s="46"/>
    </row>
    <row r="17" spans="1:51" ht="15.75" thickBot="1" x14ac:dyDescent="0.3">
      <c r="AT17" s="47">
        <v>10</v>
      </c>
      <c r="AU17" s="48"/>
      <c r="AV17" s="48"/>
      <c r="AW17" s="48">
        <v>13</v>
      </c>
      <c r="AX17" s="48"/>
      <c r="AY17" s="49"/>
    </row>
    <row r="18" spans="1:51" ht="15.75" thickBot="1" x14ac:dyDescent="0.3">
      <c r="D18" s="18" t="s">
        <v>8</v>
      </c>
      <c r="E18" s="8"/>
      <c r="F18" s="8"/>
      <c r="G18" s="8"/>
      <c r="H18" s="8" t="s">
        <v>9</v>
      </c>
      <c r="I18" s="8"/>
      <c r="J18" s="8"/>
      <c r="K18" s="8"/>
      <c r="L18" s="8" t="s">
        <v>10</v>
      </c>
      <c r="M18" s="8"/>
      <c r="N18" s="8"/>
      <c r="O18" s="8"/>
      <c r="P18" s="8" t="s">
        <v>11</v>
      </c>
      <c r="Q18" s="8"/>
      <c r="R18" s="8"/>
      <c r="S18" s="8"/>
      <c r="T18" s="8" t="s">
        <v>12</v>
      </c>
      <c r="U18" s="8"/>
      <c r="V18" s="8"/>
      <c r="W18" s="8"/>
      <c r="X18" s="8" t="s">
        <v>13</v>
      </c>
      <c r="Y18" s="8"/>
      <c r="Z18" s="8"/>
      <c r="AA18" s="8"/>
      <c r="AB18" s="8" t="s">
        <v>14</v>
      </c>
      <c r="AC18" s="8"/>
      <c r="AD18" s="8"/>
      <c r="AE18" s="8"/>
      <c r="AF18" s="8" t="s">
        <v>15</v>
      </c>
      <c r="AG18" s="8"/>
      <c r="AH18" s="8"/>
      <c r="AI18" s="8"/>
      <c r="AJ18" s="8" t="s">
        <v>16</v>
      </c>
      <c r="AK18" s="8"/>
      <c r="AL18" s="8"/>
      <c r="AM18" s="8"/>
      <c r="AN18" s="8" t="s">
        <v>17</v>
      </c>
      <c r="AO18" s="8"/>
      <c r="AP18" s="8"/>
      <c r="AQ18" s="10"/>
    </row>
    <row r="19" spans="1:51" ht="15.75" thickBot="1" x14ac:dyDescent="0.3">
      <c r="A19" s="4" t="s">
        <v>19</v>
      </c>
      <c r="B19" s="5"/>
      <c r="C19" s="6"/>
      <c r="D19" s="7">
        <v>41424</v>
      </c>
      <c r="E19" s="8"/>
      <c r="F19" s="8"/>
      <c r="G19" s="8"/>
      <c r="H19" s="9">
        <v>41440</v>
      </c>
      <c r="I19" s="8"/>
      <c r="J19" s="8"/>
      <c r="K19" s="8"/>
      <c r="L19" s="9">
        <v>41455</v>
      </c>
      <c r="M19" s="8"/>
      <c r="N19" s="8"/>
      <c r="O19" s="8"/>
      <c r="P19" s="9">
        <v>41469</v>
      </c>
      <c r="Q19" s="8"/>
      <c r="R19" s="8"/>
      <c r="S19" s="8"/>
      <c r="T19" s="9"/>
      <c r="U19" s="8"/>
      <c r="V19" s="8"/>
      <c r="W19" s="8"/>
      <c r="X19" s="9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10"/>
    </row>
    <row r="20" spans="1:51" ht="15.75" thickBot="1" x14ac:dyDescent="0.3">
      <c r="D20" s="11">
        <v>180</v>
      </c>
      <c r="E20" s="12"/>
      <c r="F20" s="12"/>
      <c r="G20" s="12"/>
      <c r="H20" s="12">
        <v>180</v>
      </c>
      <c r="I20" s="12"/>
      <c r="J20" s="12"/>
      <c r="K20" s="12"/>
      <c r="L20" s="12">
        <v>180</v>
      </c>
      <c r="M20" s="12"/>
      <c r="N20" s="12"/>
      <c r="O20" s="12"/>
      <c r="P20" s="12">
        <v>180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3"/>
    </row>
    <row r="22" spans="1:51" ht="15.75" thickBot="1" x14ac:dyDescent="0.3"/>
    <row r="23" spans="1:51" ht="15.75" thickBot="1" x14ac:dyDescent="0.3">
      <c r="B23" s="1">
        <v>3</v>
      </c>
      <c r="C23" s="15" t="s">
        <v>3</v>
      </c>
      <c r="D23" s="15"/>
      <c r="E23" s="15"/>
      <c r="F23" s="15" t="s">
        <v>4</v>
      </c>
      <c r="G23" s="15"/>
      <c r="H23" s="15"/>
      <c r="I23" s="15"/>
      <c r="J23" s="15"/>
      <c r="K23" s="15"/>
      <c r="L23" s="15" t="s">
        <v>5</v>
      </c>
      <c r="M23" s="15"/>
      <c r="AI23" s="16" t="s">
        <v>6</v>
      </c>
      <c r="AJ23" s="17"/>
      <c r="AK23" s="17"/>
      <c r="AL23" s="17"/>
      <c r="AN23" s="16" t="s">
        <v>7</v>
      </c>
      <c r="AO23" s="17"/>
      <c r="AP23" s="17"/>
      <c r="AQ23" s="17"/>
      <c r="AT23" s="39" t="s">
        <v>20</v>
      </c>
      <c r="AU23" s="40"/>
      <c r="AV23" s="40"/>
      <c r="AW23" s="40"/>
      <c r="AX23" s="40"/>
      <c r="AY23" s="41"/>
    </row>
    <row r="24" spans="1:51" ht="15.75" thickBot="1" x14ac:dyDescent="0.3">
      <c r="C24" s="22">
        <v>9527</v>
      </c>
      <c r="D24" s="23"/>
      <c r="E24" s="24"/>
      <c r="F24" s="25">
        <v>41461</v>
      </c>
      <c r="G24" s="26"/>
      <c r="H24" s="26"/>
      <c r="I24" s="26"/>
      <c r="J24" s="26"/>
      <c r="K24" s="27"/>
      <c r="L24" s="28">
        <v>5</v>
      </c>
      <c r="M24" s="28"/>
      <c r="AI24" s="29">
        <v>820</v>
      </c>
      <c r="AJ24" s="30"/>
      <c r="AK24" s="30"/>
      <c r="AL24" s="30"/>
      <c r="AN24" s="42">
        <f>AI24-D28-H28-L28-P28-T28-X28-AB28-AF28-AJ28-AN28</f>
        <v>0</v>
      </c>
      <c r="AO24" s="43"/>
      <c r="AP24" s="43"/>
      <c r="AQ24" s="43"/>
      <c r="AT24" s="44" t="s">
        <v>21</v>
      </c>
      <c r="AU24" s="45"/>
      <c r="AV24" s="45"/>
      <c r="AW24" s="45" t="s">
        <v>22</v>
      </c>
      <c r="AX24" s="45"/>
      <c r="AY24" s="46"/>
    </row>
    <row r="25" spans="1:51" ht="15.75" thickBot="1" x14ac:dyDescent="0.3">
      <c r="AT25" s="47">
        <v>13</v>
      </c>
      <c r="AU25" s="48"/>
      <c r="AV25" s="48"/>
      <c r="AW25" s="48">
        <v>16</v>
      </c>
      <c r="AX25" s="48"/>
      <c r="AY25" s="49"/>
    </row>
    <row r="26" spans="1:51" ht="15.75" thickBot="1" x14ac:dyDescent="0.3">
      <c r="D26" s="18" t="s">
        <v>8</v>
      </c>
      <c r="E26" s="8"/>
      <c r="F26" s="8"/>
      <c r="G26" s="8"/>
      <c r="H26" s="8" t="s">
        <v>9</v>
      </c>
      <c r="I26" s="8"/>
      <c r="J26" s="8"/>
      <c r="K26" s="8"/>
      <c r="L26" s="8" t="s">
        <v>10</v>
      </c>
      <c r="M26" s="8"/>
      <c r="N26" s="8"/>
      <c r="O26" s="8"/>
      <c r="P26" s="8" t="s">
        <v>11</v>
      </c>
      <c r="Q26" s="8"/>
      <c r="R26" s="8"/>
      <c r="S26" s="8"/>
      <c r="T26" s="8" t="s">
        <v>12</v>
      </c>
      <c r="U26" s="8"/>
      <c r="V26" s="8"/>
      <c r="W26" s="8"/>
      <c r="X26" s="8" t="s">
        <v>13</v>
      </c>
      <c r="Y26" s="8"/>
      <c r="Z26" s="8"/>
      <c r="AA26" s="8"/>
      <c r="AB26" s="8" t="s">
        <v>14</v>
      </c>
      <c r="AC26" s="8"/>
      <c r="AD26" s="8"/>
      <c r="AE26" s="8"/>
      <c r="AF26" s="8" t="s">
        <v>15</v>
      </c>
      <c r="AG26" s="8"/>
      <c r="AH26" s="8"/>
      <c r="AI26" s="8"/>
      <c r="AJ26" s="8" t="s">
        <v>16</v>
      </c>
      <c r="AK26" s="8"/>
      <c r="AL26" s="8"/>
      <c r="AM26" s="8"/>
      <c r="AN26" s="8" t="s">
        <v>17</v>
      </c>
      <c r="AO26" s="8"/>
      <c r="AP26" s="8"/>
      <c r="AQ26" s="10"/>
    </row>
    <row r="27" spans="1:51" ht="15.75" thickBot="1" x14ac:dyDescent="0.3">
      <c r="A27" s="4" t="s">
        <v>19</v>
      </c>
      <c r="B27" s="5"/>
      <c r="C27" s="6"/>
      <c r="D27" s="7">
        <v>41469</v>
      </c>
      <c r="E27" s="8"/>
      <c r="F27" s="8"/>
      <c r="G27" s="8"/>
      <c r="H27" s="9">
        <v>41484</v>
      </c>
      <c r="I27" s="8"/>
      <c r="J27" s="8"/>
      <c r="K27" s="8"/>
      <c r="L27" s="9">
        <v>41500</v>
      </c>
      <c r="M27" s="8"/>
      <c r="N27" s="8"/>
      <c r="O27" s="8"/>
      <c r="P27" s="9">
        <v>41516</v>
      </c>
      <c r="Q27" s="8"/>
      <c r="R27" s="8"/>
      <c r="S27" s="8"/>
      <c r="T27" s="9">
        <v>41532</v>
      </c>
      <c r="U27" s="8"/>
      <c r="V27" s="8"/>
      <c r="W27" s="8"/>
      <c r="X27" s="9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10"/>
    </row>
    <row r="28" spans="1:51" ht="15.75" thickBot="1" x14ac:dyDescent="0.3">
      <c r="D28" s="11">
        <v>164</v>
      </c>
      <c r="E28" s="12"/>
      <c r="F28" s="12"/>
      <c r="G28" s="12"/>
      <c r="H28" s="12">
        <v>164</v>
      </c>
      <c r="I28" s="12"/>
      <c r="J28" s="12"/>
      <c r="K28" s="12"/>
      <c r="L28" s="12">
        <v>164</v>
      </c>
      <c r="M28" s="12"/>
      <c r="N28" s="12"/>
      <c r="O28" s="12"/>
      <c r="P28" s="12">
        <v>164</v>
      </c>
      <c r="Q28" s="12"/>
      <c r="R28" s="12"/>
      <c r="S28" s="12"/>
      <c r="T28" s="12">
        <v>164</v>
      </c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3"/>
    </row>
    <row r="30" spans="1:51" ht="15.75" thickBot="1" x14ac:dyDescent="0.3"/>
    <row r="31" spans="1:51" ht="15.75" thickBot="1" x14ac:dyDescent="0.3">
      <c r="B31" s="1">
        <v>4</v>
      </c>
      <c r="C31" s="15" t="s">
        <v>3</v>
      </c>
      <c r="D31" s="15"/>
      <c r="E31" s="15"/>
      <c r="F31" s="15" t="s">
        <v>4</v>
      </c>
      <c r="G31" s="15"/>
      <c r="H31" s="15"/>
      <c r="I31" s="15"/>
      <c r="J31" s="15"/>
      <c r="K31" s="15"/>
      <c r="L31" s="15" t="s">
        <v>5</v>
      </c>
      <c r="M31" s="15"/>
      <c r="AI31" s="16" t="s">
        <v>6</v>
      </c>
      <c r="AJ31" s="17"/>
      <c r="AK31" s="17"/>
      <c r="AL31" s="17"/>
      <c r="AN31" s="16" t="s">
        <v>7</v>
      </c>
      <c r="AO31" s="17"/>
      <c r="AP31" s="17"/>
      <c r="AQ31" s="17"/>
      <c r="AT31" s="39" t="s">
        <v>20</v>
      </c>
      <c r="AU31" s="40"/>
      <c r="AV31" s="40"/>
      <c r="AW31" s="40"/>
      <c r="AX31" s="40"/>
      <c r="AY31" s="41"/>
    </row>
    <row r="32" spans="1:51" ht="15.75" thickBot="1" x14ac:dyDescent="0.3">
      <c r="C32" s="22">
        <v>10532</v>
      </c>
      <c r="D32" s="23"/>
      <c r="E32" s="24"/>
      <c r="F32" s="25">
        <v>41526</v>
      </c>
      <c r="G32" s="26"/>
      <c r="H32" s="26"/>
      <c r="I32" s="26"/>
      <c r="J32" s="26"/>
      <c r="K32" s="27"/>
      <c r="L32" s="28">
        <v>5</v>
      </c>
      <c r="M32" s="28"/>
      <c r="AI32" s="29">
        <v>810</v>
      </c>
      <c r="AJ32" s="30"/>
      <c r="AK32" s="30"/>
      <c r="AL32" s="30"/>
      <c r="AN32" s="42">
        <f>AI32-D36-H36-L36-P36-T36-X36-AB36-AF36-AJ36-AN36</f>
        <v>0</v>
      </c>
      <c r="AO32" s="43"/>
      <c r="AP32" s="43"/>
      <c r="AQ32" s="43"/>
      <c r="AT32" s="44" t="s">
        <v>21</v>
      </c>
      <c r="AU32" s="45"/>
      <c r="AV32" s="45"/>
      <c r="AW32" s="45" t="s">
        <v>22</v>
      </c>
      <c r="AX32" s="45"/>
      <c r="AY32" s="46"/>
    </row>
    <row r="33" spans="1:51" ht="15.75" thickBot="1" x14ac:dyDescent="0.3">
      <c r="AT33" s="47">
        <v>18</v>
      </c>
      <c r="AU33" s="48"/>
      <c r="AV33" s="48"/>
      <c r="AW33" s="48">
        <v>22</v>
      </c>
      <c r="AX33" s="48"/>
      <c r="AY33" s="49"/>
    </row>
    <row r="34" spans="1:51" ht="15.75" thickBot="1" x14ac:dyDescent="0.3">
      <c r="D34" s="18" t="s">
        <v>8</v>
      </c>
      <c r="E34" s="8"/>
      <c r="F34" s="8"/>
      <c r="G34" s="8"/>
      <c r="H34" s="8" t="s">
        <v>9</v>
      </c>
      <c r="I34" s="8"/>
      <c r="J34" s="8"/>
      <c r="K34" s="8"/>
      <c r="L34" s="8" t="s">
        <v>10</v>
      </c>
      <c r="M34" s="8"/>
      <c r="N34" s="8"/>
      <c r="O34" s="8"/>
      <c r="P34" s="8" t="s">
        <v>11</v>
      </c>
      <c r="Q34" s="8"/>
      <c r="R34" s="8"/>
      <c r="S34" s="8"/>
      <c r="T34" s="8" t="s">
        <v>12</v>
      </c>
      <c r="U34" s="8"/>
      <c r="V34" s="8"/>
      <c r="W34" s="8"/>
      <c r="X34" s="8" t="s">
        <v>13</v>
      </c>
      <c r="Y34" s="8"/>
      <c r="Z34" s="8"/>
      <c r="AA34" s="8"/>
      <c r="AB34" s="8" t="s">
        <v>14</v>
      </c>
      <c r="AC34" s="8"/>
      <c r="AD34" s="8"/>
      <c r="AE34" s="8"/>
      <c r="AF34" s="8" t="s">
        <v>15</v>
      </c>
      <c r="AG34" s="8"/>
      <c r="AH34" s="8"/>
      <c r="AI34" s="8"/>
      <c r="AJ34" s="8" t="s">
        <v>16</v>
      </c>
      <c r="AK34" s="8"/>
      <c r="AL34" s="8"/>
      <c r="AM34" s="8"/>
      <c r="AN34" s="8" t="s">
        <v>17</v>
      </c>
      <c r="AO34" s="8"/>
      <c r="AP34" s="8"/>
      <c r="AQ34" s="10"/>
    </row>
    <row r="35" spans="1:51" ht="15.75" thickBot="1" x14ac:dyDescent="0.3">
      <c r="A35" s="4" t="s">
        <v>19</v>
      </c>
      <c r="B35" s="5"/>
      <c r="C35" s="6"/>
      <c r="D35" s="7">
        <v>41547</v>
      </c>
      <c r="E35" s="8"/>
      <c r="F35" s="8"/>
      <c r="G35" s="8"/>
      <c r="H35" s="9">
        <v>41561</v>
      </c>
      <c r="I35" s="8"/>
      <c r="J35" s="8"/>
      <c r="K35" s="8"/>
      <c r="L35" s="9">
        <v>41576</v>
      </c>
      <c r="M35" s="8"/>
      <c r="N35" s="8"/>
      <c r="O35" s="8"/>
      <c r="P35" s="9">
        <v>41593</v>
      </c>
      <c r="Q35" s="8"/>
      <c r="R35" s="8"/>
      <c r="S35" s="8"/>
      <c r="T35" s="9">
        <v>41609</v>
      </c>
      <c r="U35" s="8"/>
      <c r="V35" s="8"/>
      <c r="W35" s="8"/>
      <c r="X35" s="9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10"/>
    </row>
    <row r="36" spans="1:51" ht="15.75" thickBot="1" x14ac:dyDescent="0.3">
      <c r="D36" s="11">
        <v>162</v>
      </c>
      <c r="E36" s="12"/>
      <c r="F36" s="12"/>
      <c r="G36" s="12"/>
      <c r="H36" s="12">
        <v>162</v>
      </c>
      <c r="I36" s="12"/>
      <c r="J36" s="12"/>
      <c r="K36" s="12"/>
      <c r="L36" s="12">
        <v>162</v>
      </c>
      <c r="M36" s="12"/>
      <c r="N36" s="12"/>
      <c r="O36" s="12"/>
      <c r="P36" s="12">
        <v>162</v>
      </c>
      <c r="Q36" s="12"/>
      <c r="R36" s="12"/>
      <c r="S36" s="12"/>
      <c r="T36" s="12">
        <v>162</v>
      </c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3"/>
    </row>
    <row r="38" spans="1:51" ht="15.75" thickBot="1" x14ac:dyDescent="0.3"/>
    <row r="39" spans="1:51" ht="15.75" thickBot="1" x14ac:dyDescent="0.3">
      <c r="B39" s="1">
        <v>5</v>
      </c>
      <c r="C39" s="15" t="s">
        <v>3</v>
      </c>
      <c r="D39" s="15"/>
      <c r="E39" s="15"/>
      <c r="F39" s="15" t="s">
        <v>4</v>
      </c>
      <c r="G39" s="15"/>
      <c r="H39" s="15"/>
      <c r="I39" s="15"/>
      <c r="J39" s="15"/>
      <c r="K39" s="15"/>
      <c r="L39" s="15" t="s">
        <v>5</v>
      </c>
      <c r="M39" s="15"/>
      <c r="AI39" s="16" t="s">
        <v>6</v>
      </c>
      <c r="AJ39" s="17"/>
      <c r="AK39" s="17"/>
      <c r="AL39" s="17"/>
      <c r="AN39" s="16" t="s">
        <v>7</v>
      </c>
      <c r="AO39" s="17"/>
      <c r="AP39" s="17"/>
      <c r="AQ39" s="17"/>
      <c r="AT39" s="39" t="s">
        <v>20</v>
      </c>
      <c r="AU39" s="40"/>
      <c r="AV39" s="40"/>
      <c r="AW39" s="40"/>
      <c r="AX39" s="40"/>
      <c r="AY39" s="41"/>
    </row>
    <row r="40" spans="1:51" ht="15.75" thickBot="1" x14ac:dyDescent="0.3">
      <c r="C40" s="22">
        <v>13087</v>
      </c>
      <c r="D40" s="23"/>
      <c r="E40" s="24"/>
      <c r="F40" s="25">
        <v>41694</v>
      </c>
      <c r="G40" s="26"/>
      <c r="H40" s="26"/>
      <c r="I40" s="26"/>
      <c r="J40" s="26"/>
      <c r="K40" s="27"/>
      <c r="L40" s="28">
        <v>4</v>
      </c>
      <c r="M40" s="28"/>
      <c r="AI40" s="29">
        <v>560</v>
      </c>
      <c r="AJ40" s="30"/>
      <c r="AK40" s="30"/>
      <c r="AL40" s="30"/>
      <c r="AN40" s="42">
        <f>AI40-D44-H44-L44-P44-T44-X44-AB44-AF44-AJ44-AN44</f>
        <v>0</v>
      </c>
      <c r="AO40" s="43"/>
      <c r="AP40" s="43"/>
      <c r="AQ40" s="43"/>
      <c r="AT40" s="44" t="s">
        <v>21</v>
      </c>
      <c r="AU40" s="45"/>
      <c r="AV40" s="45"/>
      <c r="AW40" s="45" t="s">
        <v>22</v>
      </c>
      <c r="AX40" s="45"/>
      <c r="AY40" s="46"/>
    </row>
    <row r="41" spans="1:51" ht="15.75" thickBot="1" x14ac:dyDescent="0.3">
      <c r="AT41" s="47">
        <v>5</v>
      </c>
      <c r="AU41" s="48"/>
      <c r="AV41" s="48"/>
      <c r="AW41" s="48">
        <v>8</v>
      </c>
      <c r="AX41" s="48"/>
      <c r="AY41" s="49"/>
    </row>
    <row r="42" spans="1:51" ht="15.75" thickBot="1" x14ac:dyDescent="0.3">
      <c r="D42" s="18" t="s">
        <v>8</v>
      </c>
      <c r="E42" s="8"/>
      <c r="F42" s="8"/>
      <c r="G42" s="8"/>
      <c r="H42" s="8" t="s">
        <v>9</v>
      </c>
      <c r="I42" s="8"/>
      <c r="J42" s="8"/>
      <c r="K42" s="8"/>
      <c r="L42" s="8" t="s">
        <v>10</v>
      </c>
      <c r="M42" s="8"/>
      <c r="N42" s="8"/>
      <c r="O42" s="8"/>
      <c r="P42" s="8" t="s">
        <v>11</v>
      </c>
      <c r="Q42" s="8"/>
      <c r="R42" s="8"/>
      <c r="S42" s="8"/>
      <c r="T42" s="8" t="s">
        <v>12</v>
      </c>
      <c r="U42" s="8"/>
      <c r="V42" s="8"/>
      <c r="W42" s="8"/>
      <c r="X42" s="8" t="s">
        <v>13</v>
      </c>
      <c r="Y42" s="8"/>
      <c r="Z42" s="8"/>
      <c r="AA42" s="8"/>
      <c r="AB42" s="8" t="s">
        <v>14</v>
      </c>
      <c r="AC42" s="8"/>
      <c r="AD42" s="8"/>
      <c r="AE42" s="8"/>
      <c r="AF42" s="8" t="s">
        <v>15</v>
      </c>
      <c r="AG42" s="8"/>
      <c r="AH42" s="8"/>
      <c r="AI42" s="8"/>
      <c r="AJ42" s="8" t="s">
        <v>16</v>
      </c>
      <c r="AK42" s="8"/>
      <c r="AL42" s="8"/>
      <c r="AM42" s="8"/>
      <c r="AN42" s="8" t="s">
        <v>17</v>
      </c>
      <c r="AO42" s="8"/>
      <c r="AP42" s="8"/>
      <c r="AQ42" s="10"/>
    </row>
    <row r="43" spans="1:51" ht="15.75" thickBot="1" x14ac:dyDescent="0.3">
      <c r="A43" s="4" t="s">
        <v>19</v>
      </c>
      <c r="B43" s="5"/>
      <c r="C43" s="6"/>
      <c r="D43" s="7">
        <v>41713</v>
      </c>
      <c r="E43" s="8"/>
      <c r="F43" s="8"/>
      <c r="G43" s="8"/>
      <c r="H43" s="9">
        <v>41728</v>
      </c>
      <c r="I43" s="8"/>
      <c r="J43" s="8"/>
      <c r="K43" s="8"/>
      <c r="L43" s="9">
        <v>41743</v>
      </c>
      <c r="M43" s="8"/>
      <c r="N43" s="8"/>
      <c r="O43" s="8"/>
      <c r="P43" s="9">
        <v>41759</v>
      </c>
      <c r="Q43" s="8"/>
      <c r="R43" s="8"/>
      <c r="S43" s="8"/>
      <c r="T43" s="9"/>
      <c r="U43" s="8"/>
      <c r="V43" s="8"/>
      <c r="W43" s="8"/>
      <c r="X43" s="9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10"/>
    </row>
    <row r="44" spans="1:51" ht="15.75" thickBot="1" x14ac:dyDescent="0.3">
      <c r="D44" s="11">
        <v>140</v>
      </c>
      <c r="E44" s="12"/>
      <c r="F44" s="12"/>
      <c r="G44" s="12"/>
      <c r="H44" s="12">
        <v>140</v>
      </c>
      <c r="I44" s="12"/>
      <c r="J44" s="12"/>
      <c r="K44" s="12"/>
      <c r="L44" s="12">
        <v>140</v>
      </c>
      <c r="M44" s="12"/>
      <c r="N44" s="12"/>
      <c r="O44" s="12"/>
      <c r="P44" s="12">
        <v>140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3"/>
    </row>
    <row r="46" spans="1:51" ht="15.75" thickBot="1" x14ac:dyDescent="0.3"/>
    <row r="47" spans="1:51" ht="15.75" thickBot="1" x14ac:dyDescent="0.3">
      <c r="B47" s="1">
        <v>6</v>
      </c>
      <c r="C47" s="14" t="s">
        <v>3</v>
      </c>
      <c r="D47" s="14"/>
      <c r="E47" s="14"/>
      <c r="F47" s="15" t="s">
        <v>4</v>
      </c>
      <c r="G47" s="15"/>
      <c r="H47" s="15"/>
      <c r="I47" s="15"/>
      <c r="J47" s="15"/>
      <c r="K47" s="15"/>
      <c r="L47" s="15" t="s">
        <v>5</v>
      </c>
      <c r="M47" s="15"/>
      <c r="AI47" s="16" t="s">
        <v>6</v>
      </c>
      <c r="AJ47" s="17"/>
      <c r="AK47" s="17"/>
      <c r="AL47" s="17"/>
      <c r="AN47" s="16" t="s">
        <v>7</v>
      </c>
      <c r="AO47" s="17"/>
      <c r="AP47" s="17"/>
      <c r="AQ47" s="17"/>
      <c r="AT47" s="39" t="s">
        <v>20</v>
      </c>
      <c r="AU47" s="40"/>
      <c r="AV47" s="40"/>
      <c r="AW47" s="40"/>
      <c r="AX47" s="40"/>
      <c r="AY47" s="41"/>
    </row>
    <row r="48" spans="1:51" ht="15.75" thickBot="1" x14ac:dyDescent="0.3">
      <c r="C48" s="22">
        <v>13860</v>
      </c>
      <c r="D48" s="23"/>
      <c r="E48" s="24"/>
      <c r="F48" s="25">
        <v>41752</v>
      </c>
      <c r="G48" s="26"/>
      <c r="H48" s="26"/>
      <c r="I48" s="26"/>
      <c r="J48" s="26"/>
      <c r="K48" s="27"/>
      <c r="L48" s="28">
        <v>4</v>
      </c>
      <c r="M48" s="28"/>
      <c r="AI48" s="29">
        <v>620</v>
      </c>
      <c r="AJ48" s="30"/>
      <c r="AK48" s="30"/>
      <c r="AL48" s="30"/>
      <c r="AN48" s="42">
        <f>AI48-D52-H52-L52-P52-T52-X52-AB52-AF52-AJ52-AN52</f>
        <v>0</v>
      </c>
      <c r="AO48" s="43"/>
      <c r="AP48" s="43"/>
      <c r="AQ48" s="43"/>
      <c r="AT48" s="44" t="s">
        <v>21</v>
      </c>
      <c r="AU48" s="45"/>
      <c r="AV48" s="45"/>
      <c r="AW48" s="45" t="s">
        <v>22</v>
      </c>
      <c r="AX48" s="45"/>
      <c r="AY48" s="46"/>
    </row>
    <row r="49" spans="1:51" ht="15.75" thickBot="1" x14ac:dyDescent="0.3">
      <c r="AT49" s="47">
        <v>8</v>
      </c>
      <c r="AU49" s="48"/>
      <c r="AV49" s="48"/>
      <c r="AW49" s="48">
        <v>11</v>
      </c>
      <c r="AX49" s="48"/>
      <c r="AY49" s="49"/>
    </row>
    <row r="50" spans="1:51" ht="15.75" thickBot="1" x14ac:dyDescent="0.3">
      <c r="D50" s="18" t="s">
        <v>8</v>
      </c>
      <c r="E50" s="8"/>
      <c r="F50" s="8"/>
      <c r="G50" s="8"/>
      <c r="H50" s="8" t="s">
        <v>9</v>
      </c>
      <c r="I50" s="8"/>
      <c r="J50" s="8"/>
      <c r="K50" s="8"/>
      <c r="L50" s="8" t="s">
        <v>10</v>
      </c>
      <c r="M50" s="8"/>
      <c r="N50" s="8"/>
      <c r="O50" s="8"/>
      <c r="P50" s="8" t="s">
        <v>11</v>
      </c>
      <c r="Q50" s="8"/>
      <c r="R50" s="8"/>
      <c r="S50" s="8"/>
      <c r="T50" s="8" t="s">
        <v>12</v>
      </c>
      <c r="U50" s="8"/>
      <c r="V50" s="8"/>
      <c r="W50" s="8"/>
      <c r="X50" s="8" t="s">
        <v>13</v>
      </c>
      <c r="Y50" s="8"/>
      <c r="Z50" s="8"/>
      <c r="AA50" s="8"/>
      <c r="AB50" s="8" t="s">
        <v>14</v>
      </c>
      <c r="AC50" s="8"/>
      <c r="AD50" s="8"/>
      <c r="AE50" s="8"/>
      <c r="AF50" s="8" t="s">
        <v>15</v>
      </c>
      <c r="AG50" s="8"/>
      <c r="AH50" s="8"/>
      <c r="AI50" s="8"/>
      <c r="AJ50" s="8" t="s">
        <v>16</v>
      </c>
      <c r="AK50" s="8"/>
      <c r="AL50" s="8"/>
      <c r="AM50" s="8"/>
      <c r="AN50" s="8" t="s">
        <v>17</v>
      </c>
      <c r="AO50" s="8"/>
      <c r="AP50" s="8"/>
      <c r="AQ50" s="10"/>
    </row>
    <row r="51" spans="1:51" ht="15.75" thickBot="1" x14ac:dyDescent="0.3">
      <c r="A51" s="4" t="s">
        <v>19</v>
      </c>
      <c r="B51" s="5"/>
      <c r="C51" s="6"/>
      <c r="D51" s="7">
        <v>41759</v>
      </c>
      <c r="E51" s="8"/>
      <c r="F51" s="8"/>
      <c r="G51" s="8"/>
      <c r="H51" s="9">
        <v>41774</v>
      </c>
      <c r="I51" s="8"/>
      <c r="J51" s="8"/>
      <c r="K51" s="8"/>
      <c r="L51" s="9">
        <v>41788</v>
      </c>
      <c r="M51" s="8"/>
      <c r="N51" s="8"/>
      <c r="O51" s="8"/>
      <c r="P51" s="9">
        <v>41804</v>
      </c>
      <c r="Q51" s="8"/>
      <c r="R51" s="8"/>
      <c r="S51" s="8"/>
      <c r="T51" s="9"/>
      <c r="U51" s="8"/>
      <c r="V51" s="8"/>
      <c r="W51" s="8"/>
      <c r="X51" s="9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10"/>
    </row>
    <row r="52" spans="1:51" ht="15.75" thickBot="1" x14ac:dyDescent="0.3">
      <c r="D52" s="11">
        <v>155</v>
      </c>
      <c r="E52" s="12"/>
      <c r="F52" s="12"/>
      <c r="G52" s="12"/>
      <c r="H52" s="12">
        <v>155</v>
      </c>
      <c r="I52" s="12"/>
      <c r="J52" s="12"/>
      <c r="K52" s="12"/>
      <c r="L52" s="12">
        <v>155</v>
      </c>
      <c r="M52" s="12"/>
      <c r="N52" s="12"/>
      <c r="O52" s="12"/>
      <c r="P52" s="12">
        <v>155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3"/>
    </row>
    <row r="54" spans="1:51" ht="15.75" thickBot="1" x14ac:dyDescent="0.3"/>
    <row r="55" spans="1:51" ht="15.75" thickBot="1" x14ac:dyDescent="0.3">
      <c r="B55" s="1">
        <v>7</v>
      </c>
      <c r="C55" s="14" t="s">
        <v>3</v>
      </c>
      <c r="D55" s="14"/>
      <c r="E55" s="14"/>
      <c r="F55" s="15" t="s">
        <v>4</v>
      </c>
      <c r="G55" s="15"/>
      <c r="H55" s="15"/>
      <c r="I55" s="15"/>
      <c r="J55" s="15"/>
      <c r="K55" s="15"/>
      <c r="L55" s="15" t="s">
        <v>5</v>
      </c>
      <c r="M55" s="15"/>
      <c r="AI55" s="16" t="s">
        <v>6</v>
      </c>
      <c r="AJ55" s="17"/>
      <c r="AK55" s="17"/>
      <c r="AL55" s="17"/>
      <c r="AN55" s="16" t="s">
        <v>7</v>
      </c>
      <c r="AO55" s="17"/>
      <c r="AP55" s="17"/>
      <c r="AQ55" s="17"/>
      <c r="AT55" s="39" t="s">
        <v>20</v>
      </c>
      <c r="AU55" s="40"/>
      <c r="AV55" s="40"/>
      <c r="AW55" s="40"/>
      <c r="AX55" s="40"/>
      <c r="AY55" s="41"/>
    </row>
    <row r="56" spans="1:51" ht="15.75" thickBot="1" x14ac:dyDescent="0.3">
      <c r="C56" s="22">
        <v>15284</v>
      </c>
      <c r="D56" s="23"/>
      <c r="E56" s="24"/>
      <c r="F56" s="25">
        <v>41840</v>
      </c>
      <c r="G56" s="26"/>
      <c r="H56" s="26"/>
      <c r="I56" s="26"/>
      <c r="J56" s="26"/>
      <c r="K56" s="27"/>
      <c r="L56" s="28">
        <v>4</v>
      </c>
      <c r="M56" s="28"/>
      <c r="AI56" s="29">
        <v>300</v>
      </c>
      <c r="AJ56" s="30"/>
      <c r="AK56" s="30"/>
      <c r="AL56" s="30"/>
      <c r="AN56" s="42">
        <f>AI56-D60-H60-L60-P60-T60-X60-AB60-AF60-AJ60-AN60</f>
        <v>0</v>
      </c>
      <c r="AO56" s="43"/>
      <c r="AP56" s="43"/>
      <c r="AQ56" s="43"/>
      <c r="AT56" s="44" t="s">
        <v>21</v>
      </c>
      <c r="AU56" s="45"/>
      <c r="AV56" s="45"/>
      <c r="AW56" s="45" t="s">
        <v>22</v>
      </c>
      <c r="AX56" s="45"/>
      <c r="AY56" s="46"/>
    </row>
    <row r="57" spans="1:51" ht="15.75" thickBot="1" x14ac:dyDescent="0.3">
      <c r="AT57" s="47">
        <v>14</v>
      </c>
      <c r="AU57" s="48"/>
      <c r="AV57" s="48"/>
      <c r="AW57" s="48">
        <v>17</v>
      </c>
      <c r="AX57" s="48"/>
      <c r="AY57" s="49"/>
    </row>
    <row r="58" spans="1:51" ht="15.75" thickBot="1" x14ac:dyDescent="0.3">
      <c r="D58" s="18" t="s">
        <v>8</v>
      </c>
      <c r="E58" s="8"/>
      <c r="F58" s="8"/>
      <c r="G58" s="8"/>
      <c r="H58" s="8" t="s">
        <v>9</v>
      </c>
      <c r="I58" s="8"/>
      <c r="J58" s="8"/>
      <c r="K58" s="8"/>
      <c r="L58" s="8" t="s">
        <v>10</v>
      </c>
      <c r="M58" s="8"/>
      <c r="N58" s="8"/>
      <c r="O58" s="8"/>
      <c r="P58" s="8" t="s">
        <v>11</v>
      </c>
      <c r="Q58" s="8"/>
      <c r="R58" s="8"/>
      <c r="S58" s="8"/>
      <c r="T58" s="8" t="s">
        <v>12</v>
      </c>
      <c r="U58" s="8"/>
      <c r="V58" s="8"/>
      <c r="W58" s="8"/>
      <c r="X58" s="8" t="s">
        <v>13</v>
      </c>
      <c r="Y58" s="8"/>
      <c r="Z58" s="8"/>
      <c r="AA58" s="8"/>
      <c r="AB58" s="8" t="s">
        <v>14</v>
      </c>
      <c r="AC58" s="8"/>
      <c r="AD58" s="8"/>
      <c r="AE58" s="8"/>
      <c r="AF58" s="8" t="s">
        <v>15</v>
      </c>
      <c r="AG58" s="8"/>
      <c r="AH58" s="8"/>
      <c r="AI58" s="8"/>
      <c r="AJ58" s="8" t="s">
        <v>16</v>
      </c>
      <c r="AK58" s="8"/>
      <c r="AL58" s="8"/>
      <c r="AM58" s="8"/>
      <c r="AN58" s="8" t="s">
        <v>17</v>
      </c>
      <c r="AO58" s="8"/>
      <c r="AP58" s="8"/>
      <c r="AQ58" s="10"/>
    </row>
    <row r="59" spans="1:51" ht="15.75" thickBot="1" x14ac:dyDescent="0.3">
      <c r="A59" s="4" t="s">
        <v>19</v>
      </c>
      <c r="B59" s="5"/>
      <c r="C59" s="6"/>
      <c r="D59" s="59">
        <v>41850</v>
      </c>
      <c r="E59" s="60"/>
      <c r="F59" s="60"/>
      <c r="G59" s="60"/>
      <c r="H59" s="60">
        <v>41866</v>
      </c>
      <c r="I59" s="60"/>
      <c r="J59" s="60"/>
      <c r="K59" s="60"/>
      <c r="L59" s="60">
        <v>41882</v>
      </c>
      <c r="M59" s="60"/>
      <c r="N59" s="60"/>
      <c r="O59" s="60"/>
      <c r="P59" s="60">
        <v>41896</v>
      </c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1"/>
    </row>
    <row r="60" spans="1:51" ht="15.75" thickBot="1" x14ac:dyDescent="0.3">
      <c r="D60" s="11">
        <v>75</v>
      </c>
      <c r="E60" s="12"/>
      <c r="F60" s="12"/>
      <c r="G60" s="12"/>
      <c r="H60" s="12">
        <v>75</v>
      </c>
      <c r="I60" s="12"/>
      <c r="J60" s="12"/>
      <c r="K60" s="12"/>
      <c r="L60" s="12">
        <v>75</v>
      </c>
      <c r="M60" s="12"/>
      <c r="N60" s="12"/>
      <c r="O60" s="12"/>
      <c r="P60" s="12">
        <v>75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3"/>
    </row>
    <row r="62" spans="1:51" ht="15.75" thickBot="1" x14ac:dyDescent="0.3"/>
    <row r="63" spans="1:51" ht="15.75" thickBot="1" x14ac:dyDescent="0.3">
      <c r="B63" s="1">
        <v>8</v>
      </c>
      <c r="C63" s="14" t="s">
        <v>3</v>
      </c>
      <c r="D63" s="14"/>
      <c r="E63" s="14"/>
      <c r="F63" s="15" t="s">
        <v>4</v>
      </c>
      <c r="G63" s="15"/>
      <c r="H63" s="15"/>
      <c r="I63" s="15"/>
      <c r="J63" s="15"/>
      <c r="K63" s="15"/>
      <c r="L63" s="15" t="s">
        <v>5</v>
      </c>
      <c r="M63" s="15"/>
      <c r="AI63" s="16" t="s">
        <v>6</v>
      </c>
      <c r="AJ63" s="17"/>
      <c r="AK63" s="17"/>
      <c r="AL63" s="17"/>
      <c r="AN63" s="16" t="s">
        <v>7</v>
      </c>
      <c r="AO63" s="17"/>
      <c r="AP63" s="17"/>
      <c r="AQ63" s="17"/>
      <c r="AT63" s="39" t="s">
        <v>20</v>
      </c>
      <c r="AU63" s="40"/>
      <c r="AV63" s="40"/>
      <c r="AW63" s="40"/>
      <c r="AX63" s="40"/>
      <c r="AY63" s="41"/>
    </row>
    <row r="64" spans="1:51" ht="15.75" thickBot="1" x14ac:dyDescent="0.3">
      <c r="C64" s="22">
        <v>15556</v>
      </c>
      <c r="D64" s="23"/>
      <c r="E64" s="24"/>
      <c r="F64" s="25">
        <v>41855</v>
      </c>
      <c r="G64" s="26"/>
      <c r="H64" s="26"/>
      <c r="I64" s="26"/>
      <c r="J64" s="26"/>
      <c r="K64" s="27"/>
      <c r="L64" s="28">
        <v>4</v>
      </c>
      <c r="M64" s="28"/>
      <c r="AI64" s="29">
        <v>320</v>
      </c>
      <c r="AJ64" s="30"/>
      <c r="AK64" s="30"/>
      <c r="AL64" s="30"/>
      <c r="AN64" s="42">
        <f>AI64-D68-H68-L68-P68-T68-X68-AB68-AF68-AJ68-AN68</f>
        <v>0</v>
      </c>
      <c r="AO64" s="43"/>
      <c r="AP64" s="43"/>
      <c r="AQ64" s="43"/>
      <c r="AT64" s="44" t="s">
        <v>21</v>
      </c>
      <c r="AU64" s="45"/>
      <c r="AV64" s="45"/>
      <c r="AW64" s="45" t="s">
        <v>22</v>
      </c>
      <c r="AX64" s="45"/>
      <c r="AY64" s="46"/>
    </row>
    <row r="65" spans="1:51" ht="15.75" thickBot="1" x14ac:dyDescent="0.3">
      <c r="AT65" s="47">
        <v>15</v>
      </c>
      <c r="AU65" s="48"/>
      <c r="AV65" s="48"/>
      <c r="AW65" s="48">
        <v>18</v>
      </c>
      <c r="AX65" s="48"/>
      <c r="AY65" s="49"/>
    </row>
    <row r="66" spans="1:51" ht="15.75" thickBot="1" x14ac:dyDescent="0.3">
      <c r="D66" s="18" t="s">
        <v>8</v>
      </c>
      <c r="E66" s="8"/>
      <c r="F66" s="8"/>
      <c r="G66" s="8"/>
      <c r="H66" s="8" t="s">
        <v>9</v>
      </c>
      <c r="I66" s="8"/>
      <c r="J66" s="8"/>
      <c r="K66" s="8"/>
      <c r="L66" s="8" t="s">
        <v>10</v>
      </c>
      <c r="M66" s="8"/>
      <c r="N66" s="8"/>
      <c r="O66" s="8"/>
      <c r="P66" s="8" t="s">
        <v>11</v>
      </c>
      <c r="Q66" s="8"/>
      <c r="R66" s="8"/>
      <c r="S66" s="8"/>
      <c r="T66" s="8" t="s">
        <v>12</v>
      </c>
      <c r="U66" s="8"/>
      <c r="V66" s="8"/>
      <c r="W66" s="8"/>
      <c r="X66" s="8" t="s">
        <v>13</v>
      </c>
      <c r="Y66" s="8"/>
      <c r="Z66" s="8"/>
      <c r="AA66" s="8"/>
      <c r="AB66" s="8" t="s">
        <v>14</v>
      </c>
      <c r="AC66" s="8"/>
      <c r="AD66" s="8"/>
      <c r="AE66" s="8"/>
      <c r="AF66" s="8" t="s">
        <v>15</v>
      </c>
      <c r="AG66" s="8"/>
      <c r="AH66" s="8"/>
      <c r="AI66" s="8"/>
      <c r="AJ66" s="8" t="s">
        <v>16</v>
      </c>
      <c r="AK66" s="8"/>
      <c r="AL66" s="8"/>
      <c r="AM66" s="8"/>
      <c r="AN66" s="8" t="s">
        <v>17</v>
      </c>
      <c r="AO66" s="8"/>
      <c r="AP66" s="8"/>
      <c r="AQ66" s="10"/>
    </row>
    <row r="67" spans="1:51" ht="15.75" thickBot="1" x14ac:dyDescent="0.3">
      <c r="A67" s="4" t="s">
        <v>19</v>
      </c>
      <c r="B67" s="5"/>
      <c r="C67" s="6"/>
      <c r="D67" s="59">
        <v>41866</v>
      </c>
      <c r="E67" s="60"/>
      <c r="F67" s="60"/>
      <c r="G67" s="60"/>
      <c r="H67" s="60">
        <v>41882</v>
      </c>
      <c r="I67" s="60"/>
      <c r="J67" s="60"/>
      <c r="K67" s="60"/>
      <c r="L67" s="60">
        <v>41896</v>
      </c>
      <c r="M67" s="60"/>
      <c r="N67" s="60"/>
      <c r="O67" s="60"/>
      <c r="P67" s="60">
        <v>41913</v>
      </c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1"/>
    </row>
    <row r="68" spans="1:51" ht="15.75" thickBot="1" x14ac:dyDescent="0.3">
      <c r="D68" s="11">
        <v>80</v>
      </c>
      <c r="E68" s="12"/>
      <c r="F68" s="12"/>
      <c r="G68" s="12"/>
      <c r="H68" s="12">
        <v>80</v>
      </c>
      <c r="I68" s="12"/>
      <c r="J68" s="12"/>
      <c r="K68" s="12"/>
      <c r="L68" s="12">
        <v>80</v>
      </c>
      <c r="M68" s="12"/>
      <c r="N68" s="12"/>
      <c r="O68" s="12"/>
      <c r="P68" s="12">
        <v>80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3"/>
    </row>
    <row r="70" spans="1:51" ht="15.75" thickBot="1" x14ac:dyDescent="0.3"/>
    <row r="71" spans="1:51" ht="15.75" thickBot="1" x14ac:dyDescent="0.3">
      <c r="B71" s="1">
        <v>9</v>
      </c>
      <c r="C71" s="14" t="s">
        <v>3</v>
      </c>
      <c r="D71" s="14"/>
      <c r="E71" s="14"/>
      <c r="F71" s="15" t="s">
        <v>4</v>
      </c>
      <c r="G71" s="15"/>
      <c r="H71" s="15"/>
      <c r="I71" s="15"/>
      <c r="J71" s="15"/>
      <c r="K71" s="15"/>
      <c r="L71" s="15" t="s">
        <v>5</v>
      </c>
      <c r="M71" s="15"/>
      <c r="AI71" s="16" t="s">
        <v>6</v>
      </c>
      <c r="AJ71" s="17"/>
      <c r="AK71" s="17"/>
      <c r="AL71" s="17"/>
      <c r="AN71" s="16" t="s">
        <v>7</v>
      </c>
      <c r="AO71" s="17"/>
      <c r="AP71" s="17"/>
      <c r="AQ71" s="17"/>
      <c r="AT71" s="39" t="s">
        <v>20</v>
      </c>
      <c r="AU71" s="40"/>
      <c r="AV71" s="40"/>
      <c r="AW71" s="40"/>
      <c r="AX71" s="40"/>
      <c r="AY71" s="41"/>
    </row>
    <row r="72" spans="1:51" ht="15.75" thickBot="1" x14ac:dyDescent="0.3">
      <c r="C72" s="22">
        <v>16408</v>
      </c>
      <c r="D72" s="23"/>
      <c r="E72" s="24"/>
      <c r="F72" s="25">
        <v>41904</v>
      </c>
      <c r="G72" s="26"/>
      <c r="H72" s="26"/>
      <c r="I72" s="26"/>
      <c r="J72" s="26"/>
      <c r="K72" s="27"/>
      <c r="L72" s="28">
        <v>4</v>
      </c>
      <c r="M72" s="28"/>
      <c r="AI72" s="29">
        <v>640</v>
      </c>
      <c r="AJ72" s="30"/>
      <c r="AK72" s="30"/>
      <c r="AL72" s="30"/>
      <c r="AN72" s="42">
        <f>AI72-D76-H76-L76-P76-T76-X76-AB76-AF76-AJ76-AN76</f>
        <v>0</v>
      </c>
      <c r="AO72" s="43"/>
      <c r="AP72" s="43"/>
      <c r="AQ72" s="43"/>
      <c r="AT72" s="44" t="s">
        <v>21</v>
      </c>
      <c r="AU72" s="45"/>
      <c r="AV72" s="45"/>
      <c r="AW72" s="45" t="s">
        <v>22</v>
      </c>
      <c r="AX72" s="45"/>
      <c r="AY72" s="46"/>
    </row>
    <row r="73" spans="1:51" ht="15.75" thickBot="1" x14ac:dyDescent="0.3">
      <c r="AT73" s="47">
        <v>18</v>
      </c>
      <c r="AU73" s="48"/>
      <c r="AV73" s="48"/>
      <c r="AW73" s="48">
        <v>21</v>
      </c>
      <c r="AX73" s="48"/>
      <c r="AY73" s="49"/>
    </row>
    <row r="74" spans="1:51" ht="15.75" thickBot="1" x14ac:dyDescent="0.3">
      <c r="D74" s="18" t="s">
        <v>8</v>
      </c>
      <c r="E74" s="8"/>
      <c r="F74" s="8"/>
      <c r="G74" s="8"/>
      <c r="H74" s="8" t="s">
        <v>9</v>
      </c>
      <c r="I74" s="8"/>
      <c r="J74" s="8"/>
      <c r="K74" s="8"/>
      <c r="L74" s="8" t="s">
        <v>10</v>
      </c>
      <c r="M74" s="8"/>
      <c r="N74" s="8"/>
      <c r="O74" s="8"/>
      <c r="P74" s="8" t="s">
        <v>11</v>
      </c>
      <c r="Q74" s="8"/>
      <c r="R74" s="8"/>
      <c r="S74" s="8"/>
      <c r="T74" s="8" t="s">
        <v>12</v>
      </c>
      <c r="U74" s="8"/>
      <c r="V74" s="8"/>
      <c r="W74" s="8"/>
      <c r="X74" s="8" t="s">
        <v>13</v>
      </c>
      <c r="Y74" s="8"/>
      <c r="Z74" s="8"/>
      <c r="AA74" s="8"/>
      <c r="AB74" s="8" t="s">
        <v>14</v>
      </c>
      <c r="AC74" s="8"/>
      <c r="AD74" s="8"/>
      <c r="AE74" s="8"/>
      <c r="AF74" s="8" t="s">
        <v>15</v>
      </c>
      <c r="AG74" s="8"/>
      <c r="AH74" s="8"/>
      <c r="AI74" s="8"/>
      <c r="AJ74" s="8" t="s">
        <v>16</v>
      </c>
      <c r="AK74" s="8"/>
      <c r="AL74" s="8"/>
      <c r="AM74" s="8"/>
      <c r="AN74" s="8" t="s">
        <v>17</v>
      </c>
      <c r="AO74" s="8"/>
      <c r="AP74" s="8"/>
      <c r="AQ74" s="10"/>
    </row>
    <row r="75" spans="1:51" ht="15.75" thickBot="1" x14ac:dyDescent="0.3">
      <c r="A75" s="4" t="s">
        <v>19</v>
      </c>
      <c r="B75" s="5"/>
      <c r="C75" s="6"/>
      <c r="D75" s="7">
        <v>41913</v>
      </c>
      <c r="E75" s="8"/>
      <c r="F75" s="8"/>
      <c r="G75" s="8"/>
      <c r="H75" s="9">
        <v>41927</v>
      </c>
      <c r="I75" s="8"/>
      <c r="J75" s="8"/>
      <c r="K75" s="8"/>
      <c r="L75" s="9">
        <v>41942</v>
      </c>
      <c r="M75" s="8"/>
      <c r="N75" s="8"/>
      <c r="O75" s="8"/>
      <c r="P75" s="9">
        <v>41958</v>
      </c>
      <c r="Q75" s="8"/>
      <c r="R75" s="8"/>
      <c r="S75" s="8"/>
      <c r="T75" s="9"/>
      <c r="U75" s="8"/>
      <c r="V75" s="8"/>
      <c r="W75" s="8"/>
      <c r="X75" s="9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10"/>
    </row>
    <row r="76" spans="1:51" ht="15.75" thickBot="1" x14ac:dyDescent="0.3">
      <c r="D76" s="11">
        <v>160</v>
      </c>
      <c r="E76" s="12"/>
      <c r="F76" s="12"/>
      <c r="G76" s="12"/>
      <c r="H76" s="12">
        <v>160</v>
      </c>
      <c r="I76" s="12"/>
      <c r="J76" s="12"/>
      <c r="K76" s="12"/>
      <c r="L76" s="12">
        <v>160</v>
      </c>
      <c r="M76" s="12"/>
      <c r="N76" s="12"/>
      <c r="O76" s="12"/>
      <c r="P76" s="12">
        <v>160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3"/>
    </row>
    <row r="78" spans="1:51" ht="15.75" thickBot="1" x14ac:dyDescent="0.3"/>
    <row r="79" spans="1:51" ht="15.75" thickBot="1" x14ac:dyDescent="0.3">
      <c r="B79" s="1">
        <v>10</v>
      </c>
      <c r="C79" s="14" t="s">
        <v>3</v>
      </c>
      <c r="D79" s="14"/>
      <c r="E79" s="14"/>
      <c r="F79" s="15" t="s">
        <v>4</v>
      </c>
      <c r="G79" s="15"/>
      <c r="H79" s="15"/>
      <c r="I79" s="15"/>
      <c r="J79" s="15"/>
      <c r="K79" s="15"/>
      <c r="L79" s="15" t="s">
        <v>5</v>
      </c>
      <c r="M79" s="15"/>
      <c r="AI79" s="16" t="s">
        <v>6</v>
      </c>
      <c r="AJ79" s="17"/>
      <c r="AK79" s="17"/>
      <c r="AL79" s="17"/>
      <c r="AN79" s="16" t="s">
        <v>7</v>
      </c>
      <c r="AO79" s="17"/>
      <c r="AP79" s="17"/>
      <c r="AQ79" s="17"/>
      <c r="AT79" s="39" t="s">
        <v>20</v>
      </c>
      <c r="AU79" s="40"/>
      <c r="AV79" s="40"/>
      <c r="AW79" s="40"/>
      <c r="AX79" s="40"/>
      <c r="AY79" s="41"/>
    </row>
    <row r="80" spans="1:51" ht="15.75" thickBot="1" x14ac:dyDescent="0.3">
      <c r="C80" s="22">
        <v>16710</v>
      </c>
      <c r="D80" s="23"/>
      <c r="E80" s="24"/>
      <c r="F80" s="25">
        <v>41927</v>
      </c>
      <c r="G80" s="26"/>
      <c r="H80" s="26"/>
      <c r="I80" s="26"/>
      <c r="J80" s="26"/>
      <c r="K80" s="27"/>
      <c r="L80" s="28">
        <v>4</v>
      </c>
      <c r="M80" s="28"/>
      <c r="AI80" s="29">
        <v>380</v>
      </c>
      <c r="AJ80" s="30"/>
      <c r="AK80" s="30"/>
      <c r="AL80" s="30"/>
      <c r="AN80" s="42">
        <f>AI80-D84-H84-L84-P84-T84-X84-AB84-AF84-AJ84-AN84</f>
        <v>0</v>
      </c>
      <c r="AO80" s="43"/>
      <c r="AP80" s="43"/>
      <c r="AQ80" s="43"/>
      <c r="AT80" s="44" t="s">
        <v>21</v>
      </c>
      <c r="AU80" s="45"/>
      <c r="AV80" s="45"/>
      <c r="AW80" s="45" t="s">
        <v>22</v>
      </c>
      <c r="AX80" s="45"/>
      <c r="AY80" s="46"/>
    </row>
    <row r="81" spans="1:51" ht="15.75" thickBot="1" x14ac:dyDescent="0.3">
      <c r="AT81" s="47">
        <v>20</v>
      </c>
      <c r="AU81" s="48"/>
      <c r="AV81" s="48"/>
      <c r="AW81" s="48">
        <v>23</v>
      </c>
      <c r="AX81" s="48"/>
      <c r="AY81" s="49"/>
    </row>
    <row r="82" spans="1:51" ht="15.75" thickBot="1" x14ac:dyDescent="0.3">
      <c r="D82" s="18" t="s">
        <v>8</v>
      </c>
      <c r="E82" s="8"/>
      <c r="F82" s="8"/>
      <c r="G82" s="8"/>
      <c r="H82" s="8" t="s">
        <v>9</v>
      </c>
      <c r="I82" s="8"/>
      <c r="J82" s="8"/>
      <c r="K82" s="8"/>
      <c r="L82" s="8" t="s">
        <v>10</v>
      </c>
      <c r="M82" s="8"/>
      <c r="N82" s="8"/>
      <c r="O82" s="8"/>
      <c r="P82" s="8" t="s">
        <v>11</v>
      </c>
      <c r="Q82" s="8"/>
      <c r="R82" s="8"/>
      <c r="S82" s="8"/>
      <c r="T82" s="8" t="s">
        <v>12</v>
      </c>
      <c r="U82" s="8"/>
      <c r="V82" s="8"/>
      <c r="W82" s="8"/>
      <c r="X82" s="8" t="s">
        <v>13</v>
      </c>
      <c r="Y82" s="8"/>
      <c r="Z82" s="8"/>
      <c r="AA82" s="8"/>
      <c r="AB82" s="8" t="s">
        <v>14</v>
      </c>
      <c r="AC82" s="8"/>
      <c r="AD82" s="8"/>
      <c r="AE82" s="8"/>
      <c r="AF82" s="8" t="s">
        <v>15</v>
      </c>
      <c r="AG82" s="8"/>
      <c r="AH82" s="8"/>
      <c r="AI82" s="8"/>
      <c r="AJ82" s="8" t="s">
        <v>16</v>
      </c>
      <c r="AK82" s="8"/>
      <c r="AL82" s="8"/>
      <c r="AM82" s="8"/>
      <c r="AN82" s="8" t="s">
        <v>17</v>
      </c>
      <c r="AO82" s="8"/>
      <c r="AP82" s="8"/>
      <c r="AQ82" s="10"/>
    </row>
    <row r="83" spans="1:51" ht="15.75" thickBot="1" x14ac:dyDescent="0.3">
      <c r="A83" s="4" t="s">
        <v>19</v>
      </c>
      <c r="B83" s="5"/>
      <c r="C83" s="6"/>
      <c r="D83" s="7">
        <v>41942</v>
      </c>
      <c r="E83" s="8"/>
      <c r="F83" s="8"/>
      <c r="G83" s="8"/>
      <c r="H83" s="9">
        <v>41958</v>
      </c>
      <c r="I83" s="8"/>
      <c r="J83" s="8"/>
      <c r="K83" s="8"/>
      <c r="L83" s="9">
        <v>41973</v>
      </c>
      <c r="M83" s="8"/>
      <c r="N83" s="8"/>
      <c r="O83" s="8"/>
      <c r="P83" s="9">
        <v>41988</v>
      </c>
      <c r="Q83" s="8"/>
      <c r="R83" s="8"/>
      <c r="S83" s="8"/>
      <c r="T83" s="9"/>
      <c r="U83" s="8"/>
      <c r="V83" s="8"/>
      <c r="W83" s="8"/>
      <c r="X83" s="9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10"/>
    </row>
    <row r="84" spans="1:51" ht="15.75" thickBot="1" x14ac:dyDescent="0.3">
      <c r="D84" s="11">
        <v>95</v>
      </c>
      <c r="E84" s="12"/>
      <c r="F84" s="12"/>
      <c r="G84" s="12"/>
      <c r="H84" s="12">
        <v>95</v>
      </c>
      <c r="I84" s="12"/>
      <c r="J84" s="12"/>
      <c r="K84" s="12"/>
      <c r="L84" s="12">
        <v>95</v>
      </c>
      <c r="M84" s="12"/>
      <c r="N84" s="12"/>
      <c r="O84" s="12"/>
      <c r="P84" s="12">
        <v>95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3"/>
    </row>
    <row r="86" spans="1:51" ht="15.75" thickBot="1" x14ac:dyDescent="0.3"/>
    <row r="87" spans="1:51" ht="15.75" thickBot="1" x14ac:dyDescent="0.3">
      <c r="B87" s="1">
        <v>11</v>
      </c>
      <c r="C87" s="14" t="s">
        <v>3</v>
      </c>
      <c r="D87" s="14"/>
      <c r="E87" s="14"/>
      <c r="F87" s="15" t="s">
        <v>4</v>
      </c>
      <c r="G87" s="15"/>
      <c r="H87" s="15"/>
      <c r="I87" s="15"/>
      <c r="J87" s="15"/>
      <c r="K87" s="15"/>
      <c r="L87" s="15" t="s">
        <v>5</v>
      </c>
      <c r="M87" s="15"/>
      <c r="AI87" s="16" t="s">
        <v>6</v>
      </c>
      <c r="AJ87" s="17"/>
      <c r="AK87" s="17"/>
      <c r="AL87" s="17"/>
      <c r="AN87" s="16" t="s">
        <v>7</v>
      </c>
      <c r="AO87" s="17"/>
      <c r="AP87" s="17"/>
      <c r="AQ87" s="17"/>
      <c r="AT87" s="39" t="s">
        <v>20</v>
      </c>
      <c r="AU87" s="40"/>
      <c r="AV87" s="40"/>
      <c r="AW87" s="40"/>
      <c r="AX87" s="40"/>
      <c r="AY87" s="41"/>
    </row>
    <row r="88" spans="1:51" ht="15.75" thickBot="1" x14ac:dyDescent="0.3">
      <c r="C88" s="22">
        <v>17110</v>
      </c>
      <c r="D88" s="23"/>
      <c r="E88" s="24"/>
      <c r="F88" s="25">
        <v>41959</v>
      </c>
      <c r="G88" s="26"/>
      <c r="H88" s="26"/>
      <c r="I88" s="26"/>
      <c r="J88" s="26"/>
      <c r="K88" s="27"/>
      <c r="L88" s="28">
        <v>5</v>
      </c>
      <c r="M88" s="28"/>
      <c r="AI88" s="29">
        <v>700</v>
      </c>
      <c r="AJ88" s="30"/>
      <c r="AK88" s="30"/>
      <c r="AL88" s="30"/>
      <c r="AN88" s="42">
        <f>AI88-D92-H92-L92-P92-T92-X92-AB92-AF92-AJ92-AN92</f>
        <v>0</v>
      </c>
      <c r="AO88" s="43"/>
      <c r="AP88" s="43"/>
      <c r="AQ88" s="43"/>
      <c r="AT88" s="44" t="s">
        <v>21</v>
      </c>
      <c r="AU88" s="45"/>
      <c r="AV88" s="45"/>
      <c r="AW88" s="45" t="s">
        <v>22</v>
      </c>
      <c r="AX88" s="45"/>
      <c r="AY88" s="46"/>
    </row>
    <row r="89" spans="1:51" ht="15.75" thickBot="1" x14ac:dyDescent="0.3">
      <c r="AT89" s="47">
        <v>22</v>
      </c>
      <c r="AU89" s="48"/>
      <c r="AV89" s="48"/>
      <c r="AW89" s="48">
        <v>2</v>
      </c>
      <c r="AX89" s="48"/>
      <c r="AY89" s="49"/>
    </row>
    <row r="90" spans="1:51" ht="15.75" thickBot="1" x14ac:dyDescent="0.3">
      <c r="D90" s="18" t="s">
        <v>8</v>
      </c>
      <c r="E90" s="8"/>
      <c r="F90" s="8"/>
      <c r="G90" s="8"/>
      <c r="H90" s="8" t="s">
        <v>9</v>
      </c>
      <c r="I90" s="8"/>
      <c r="J90" s="8"/>
      <c r="K90" s="8"/>
      <c r="L90" s="8" t="s">
        <v>10</v>
      </c>
      <c r="M90" s="8"/>
      <c r="N90" s="8"/>
      <c r="O90" s="8"/>
      <c r="P90" s="8" t="s">
        <v>11</v>
      </c>
      <c r="Q90" s="8"/>
      <c r="R90" s="8"/>
      <c r="S90" s="8"/>
      <c r="T90" s="8" t="s">
        <v>12</v>
      </c>
      <c r="U90" s="8"/>
      <c r="V90" s="8"/>
      <c r="W90" s="8"/>
      <c r="X90" s="8" t="s">
        <v>13</v>
      </c>
      <c r="Y90" s="8"/>
      <c r="Z90" s="8"/>
      <c r="AA90" s="8"/>
      <c r="AB90" s="8" t="s">
        <v>14</v>
      </c>
      <c r="AC90" s="8"/>
      <c r="AD90" s="8"/>
      <c r="AE90" s="8"/>
      <c r="AF90" s="8" t="s">
        <v>15</v>
      </c>
      <c r="AG90" s="8"/>
      <c r="AH90" s="8"/>
      <c r="AI90" s="8"/>
      <c r="AJ90" s="8" t="s">
        <v>16</v>
      </c>
      <c r="AK90" s="8"/>
      <c r="AL90" s="8"/>
      <c r="AM90" s="8"/>
      <c r="AN90" s="8" t="s">
        <v>17</v>
      </c>
      <c r="AO90" s="8"/>
      <c r="AP90" s="8"/>
      <c r="AQ90" s="10"/>
    </row>
    <row r="91" spans="1:51" ht="15.75" thickBot="1" x14ac:dyDescent="0.3">
      <c r="A91" s="4" t="s">
        <v>19</v>
      </c>
      <c r="B91" s="5"/>
      <c r="C91" s="6"/>
      <c r="D91" s="7">
        <v>41973</v>
      </c>
      <c r="E91" s="8"/>
      <c r="F91" s="8"/>
      <c r="G91" s="8"/>
      <c r="H91" s="9">
        <v>41988</v>
      </c>
      <c r="I91" s="8"/>
      <c r="J91" s="8"/>
      <c r="K91" s="8"/>
      <c r="L91" s="9">
        <v>42003</v>
      </c>
      <c r="M91" s="8"/>
      <c r="N91" s="8"/>
      <c r="O91" s="8"/>
      <c r="P91" s="9">
        <v>42019</v>
      </c>
      <c r="Q91" s="8"/>
      <c r="R91" s="8"/>
      <c r="S91" s="8"/>
      <c r="T91" s="9">
        <v>42034</v>
      </c>
      <c r="U91" s="8"/>
      <c r="V91" s="8"/>
      <c r="W91" s="8"/>
      <c r="X91" s="9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10"/>
    </row>
    <row r="92" spans="1:51" ht="15.75" thickBot="1" x14ac:dyDescent="0.3">
      <c r="D92" s="11">
        <v>140</v>
      </c>
      <c r="E92" s="12"/>
      <c r="F92" s="12"/>
      <c r="G92" s="12"/>
      <c r="H92" s="12">
        <v>140</v>
      </c>
      <c r="I92" s="12"/>
      <c r="J92" s="12"/>
      <c r="K92" s="12"/>
      <c r="L92" s="12">
        <v>140</v>
      </c>
      <c r="M92" s="12"/>
      <c r="N92" s="12"/>
      <c r="O92" s="12"/>
      <c r="P92" s="12">
        <v>140</v>
      </c>
      <c r="Q92" s="12"/>
      <c r="R92" s="12"/>
      <c r="S92" s="12"/>
      <c r="T92" s="12">
        <v>140</v>
      </c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3"/>
    </row>
    <row r="94" spans="1:51" ht="15.75" thickBot="1" x14ac:dyDescent="0.3"/>
    <row r="95" spans="1:51" ht="15.75" thickBot="1" x14ac:dyDescent="0.3">
      <c r="B95" s="1">
        <v>12</v>
      </c>
      <c r="C95" s="14" t="s">
        <v>3</v>
      </c>
      <c r="D95" s="14"/>
      <c r="E95" s="14"/>
      <c r="F95" s="15" t="s">
        <v>4</v>
      </c>
      <c r="G95" s="15"/>
      <c r="H95" s="15"/>
      <c r="I95" s="15"/>
      <c r="J95" s="15"/>
      <c r="K95" s="15"/>
      <c r="L95" s="15" t="s">
        <v>5</v>
      </c>
      <c r="M95" s="15"/>
      <c r="AI95" s="16" t="s">
        <v>6</v>
      </c>
      <c r="AJ95" s="17"/>
      <c r="AK95" s="17"/>
      <c r="AL95" s="17"/>
      <c r="AN95" s="16" t="s">
        <v>7</v>
      </c>
      <c r="AO95" s="17"/>
      <c r="AP95" s="17"/>
      <c r="AQ95" s="17"/>
      <c r="AT95" s="39" t="s">
        <v>20</v>
      </c>
      <c r="AU95" s="40"/>
      <c r="AV95" s="40"/>
      <c r="AW95" s="40"/>
      <c r="AX95" s="40"/>
      <c r="AY95" s="41"/>
    </row>
    <row r="96" spans="1:51" ht="15.75" thickBot="1" x14ac:dyDescent="0.3">
      <c r="C96" s="22">
        <v>17827</v>
      </c>
      <c r="D96" s="23"/>
      <c r="E96" s="24"/>
      <c r="F96" s="25">
        <v>41989</v>
      </c>
      <c r="G96" s="26"/>
      <c r="H96" s="26"/>
      <c r="I96" s="26"/>
      <c r="J96" s="26"/>
      <c r="K96" s="27"/>
      <c r="L96" s="28">
        <v>4</v>
      </c>
      <c r="M96" s="28"/>
      <c r="AI96" s="29">
        <v>680</v>
      </c>
      <c r="AJ96" s="30"/>
      <c r="AK96" s="30"/>
      <c r="AL96" s="30"/>
      <c r="AN96" s="42">
        <f>AI96-D100-H100-L100-P100-T100-X100-AB100-AF100-AJ100-AN100</f>
        <v>0</v>
      </c>
      <c r="AO96" s="43"/>
      <c r="AP96" s="43"/>
      <c r="AQ96" s="43"/>
      <c r="AT96" s="44" t="s">
        <v>21</v>
      </c>
      <c r="AU96" s="45"/>
      <c r="AV96" s="45"/>
      <c r="AW96" s="45" t="s">
        <v>22</v>
      </c>
      <c r="AX96" s="45"/>
      <c r="AY96" s="46"/>
    </row>
    <row r="97" spans="1:51" ht="15.75" thickBot="1" x14ac:dyDescent="0.3">
      <c r="AT97" s="47">
        <v>24</v>
      </c>
      <c r="AU97" s="48"/>
      <c r="AV97" s="48"/>
      <c r="AW97" s="48">
        <v>3</v>
      </c>
      <c r="AX97" s="48"/>
      <c r="AY97" s="49"/>
    </row>
    <row r="98" spans="1:51" ht="15.75" thickBot="1" x14ac:dyDescent="0.3">
      <c r="D98" s="18" t="s">
        <v>8</v>
      </c>
      <c r="E98" s="8"/>
      <c r="F98" s="8"/>
      <c r="G98" s="8"/>
      <c r="H98" s="8" t="s">
        <v>9</v>
      </c>
      <c r="I98" s="8"/>
      <c r="J98" s="8"/>
      <c r="K98" s="8"/>
      <c r="L98" s="8" t="s">
        <v>10</v>
      </c>
      <c r="M98" s="8"/>
      <c r="N98" s="8"/>
      <c r="O98" s="8"/>
      <c r="P98" s="8" t="s">
        <v>11</v>
      </c>
      <c r="Q98" s="8"/>
      <c r="R98" s="8"/>
      <c r="S98" s="8"/>
      <c r="T98" s="8" t="s">
        <v>12</v>
      </c>
      <c r="U98" s="8"/>
      <c r="V98" s="8"/>
      <c r="W98" s="8"/>
      <c r="X98" s="8" t="s">
        <v>13</v>
      </c>
      <c r="Y98" s="8"/>
      <c r="Z98" s="8"/>
      <c r="AA98" s="8"/>
      <c r="AB98" s="8" t="s">
        <v>14</v>
      </c>
      <c r="AC98" s="8"/>
      <c r="AD98" s="8"/>
      <c r="AE98" s="8"/>
      <c r="AF98" s="8" t="s">
        <v>15</v>
      </c>
      <c r="AG98" s="8"/>
      <c r="AH98" s="8"/>
      <c r="AI98" s="8"/>
      <c r="AJ98" s="8" t="s">
        <v>16</v>
      </c>
      <c r="AK98" s="8"/>
      <c r="AL98" s="8"/>
      <c r="AM98" s="8"/>
      <c r="AN98" s="8" t="s">
        <v>17</v>
      </c>
      <c r="AO98" s="8"/>
      <c r="AP98" s="8"/>
      <c r="AQ98" s="10"/>
    </row>
    <row r="99" spans="1:51" ht="15.75" thickBot="1" x14ac:dyDescent="0.3">
      <c r="A99" s="4" t="s">
        <v>19</v>
      </c>
      <c r="B99" s="5"/>
      <c r="C99" s="6"/>
      <c r="D99" s="7">
        <v>42003</v>
      </c>
      <c r="E99" s="8"/>
      <c r="F99" s="8"/>
      <c r="G99" s="8"/>
      <c r="H99" s="9">
        <v>42019</v>
      </c>
      <c r="I99" s="8"/>
      <c r="J99" s="8"/>
      <c r="K99" s="8"/>
      <c r="L99" s="9">
        <v>42034</v>
      </c>
      <c r="M99" s="8"/>
      <c r="N99" s="8"/>
      <c r="O99" s="8"/>
      <c r="P99" s="9">
        <v>42051</v>
      </c>
      <c r="Q99" s="8"/>
      <c r="R99" s="8"/>
      <c r="S99" s="8"/>
      <c r="T99" s="9"/>
      <c r="U99" s="8"/>
      <c r="V99" s="8"/>
      <c r="W99" s="8"/>
      <c r="X99" s="9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10"/>
    </row>
    <row r="100" spans="1:51" ht="15.75" thickBot="1" x14ac:dyDescent="0.3">
      <c r="D100" s="11">
        <v>170</v>
      </c>
      <c r="E100" s="12"/>
      <c r="F100" s="12"/>
      <c r="G100" s="12"/>
      <c r="H100" s="12">
        <v>170</v>
      </c>
      <c r="I100" s="12"/>
      <c r="J100" s="12"/>
      <c r="K100" s="12"/>
      <c r="L100" s="12">
        <v>170</v>
      </c>
      <c r="M100" s="12"/>
      <c r="N100" s="12"/>
      <c r="O100" s="12"/>
      <c r="P100" s="12">
        <v>170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3"/>
    </row>
    <row r="102" spans="1:51" ht="15.75" thickBot="1" x14ac:dyDescent="0.3"/>
    <row r="103" spans="1:51" ht="15.75" thickBot="1" x14ac:dyDescent="0.3">
      <c r="B103" s="1">
        <v>13</v>
      </c>
      <c r="C103" s="14" t="s">
        <v>3</v>
      </c>
      <c r="D103" s="14"/>
      <c r="E103" s="14"/>
      <c r="F103" s="15" t="s">
        <v>4</v>
      </c>
      <c r="G103" s="15"/>
      <c r="H103" s="15"/>
      <c r="I103" s="15"/>
      <c r="J103" s="15"/>
      <c r="K103" s="15"/>
      <c r="L103" s="15" t="s">
        <v>5</v>
      </c>
      <c r="M103" s="15"/>
      <c r="AI103" s="16" t="s">
        <v>6</v>
      </c>
      <c r="AJ103" s="17"/>
      <c r="AK103" s="17"/>
      <c r="AL103" s="17"/>
      <c r="AN103" s="16" t="s">
        <v>7</v>
      </c>
      <c r="AO103" s="17"/>
      <c r="AP103" s="17"/>
      <c r="AQ103" s="17"/>
      <c r="AT103" s="39" t="s">
        <v>20</v>
      </c>
      <c r="AU103" s="40"/>
      <c r="AV103" s="40"/>
      <c r="AW103" s="40"/>
      <c r="AX103" s="40"/>
      <c r="AY103" s="41"/>
    </row>
    <row r="104" spans="1:51" ht="15.75" thickBot="1" x14ac:dyDescent="0.3">
      <c r="C104" s="22">
        <v>19067</v>
      </c>
      <c r="D104" s="23"/>
      <c r="E104" s="24"/>
      <c r="F104" s="25">
        <v>42059</v>
      </c>
      <c r="G104" s="26"/>
      <c r="H104" s="26"/>
      <c r="I104" s="26"/>
      <c r="J104" s="26"/>
      <c r="K104" s="27"/>
      <c r="L104" s="28">
        <v>4</v>
      </c>
      <c r="M104" s="28"/>
      <c r="AI104" s="29">
        <v>870</v>
      </c>
      <c r="AJ104" s="30"/>
      <c r="AK104" s="30"/>
      <c r="AL104" s="30"/>
      <c r="AN104" s="42">
        <f>AI104-D108-H108-L108-P108-T108-X108-AB108-AF108-AJ108-AN108</f>
        <v>-2</v>
      </c>
      <c r="AO104" s="43"/>
      <c r="AP104" s="43"/>
      <c r="AQ104" s="43"/>
      <c r="AT104" s="44" t="s">
        <v>21</v>
      </c>
      <c r="AU104" s="45"/>
      <c r="AV104" s="45"/>
      <c r="AW104" s="45" t="s">
        <v>22</v>
      </c>
      <c r="AX104" s="45"/>
      <c r="AY104" s="46"/>
    </row>
    <row r="105" spans="1:51" ht="15.75" thickBot="1" x14ac:dyDescent="0.3">
      <c r="AT105" s="47">
        <v>5</v>
      </c>
      <c r="AU105" s="48"/>
      <c r="AV105" s="48"/>
      <c r="AW105" s="48">
        <v>8</v>
      </c>
      <c r="AX105" s="48"/>
      <c r="AY105" s="49"/>
    </row>
    <row r="106" spans="1:51" ht="15.75" thickBot="1" x14ac:dyDescent="0.3">
      <c r="D106" s="18" t="s">
        <v>8</v>
      </c>
      <c r="E106" s="8"/>
      <c r="F106" s="8"/>
      <c r="G106" s="8"/>
      <c r="H106" s="8" t="s">
        <v>9</v>
      </c>
      <c r="I106" s="8"/>
      <c r="J106" s="8"/>
      <c r="K106" s="8"/>
      <c r="L106" s="8" t="s">
        <v>10</v>
      </c>
      <c r="M106" s="8"/>
      <c r="N106" s="8"/>
      <c r="O106" s="8"/>
      <c r="P106" s="8" t="s">
        <v>11</v>
      </c>
      <c r="Q106" s="8"/>
      <c r="R106" s="8"/>
      <c r="S106" s="8"/>
      <c r="T106" s="8" t="s">
        <v>12</v>
      </c>
      <c r="U106" s="8"/>
      <c r="V106" s="8"/>
      <c r="W106" s="8"/>
      <c r="X106" s="8" t="s">
        <v>13</v>
      </c>
      <c r="Y106" s="8"/>
      <c r="Z106" s="8"/>
      <c r="AA106" s="8"/>
      <c r="AB106" s="8" t="s">
        <v>14</v>
      </c>
      <c r="AC106" s="8"/>
      <c r="AD106" s="8"/>
      <c r="AE106" s="8"/>
      <c r="AF106" s="8" t="s">
        <v>15</v>
      </c>
      <c r="AG106" s="8"/>
      <c r="AH106" s="8"/>
      <c r="AI106" s="8"/>
      <c r="AJ106" s="8" t="s">
        <v>16</v>
      </c>
      <c r="AK106" s="8"/>
      <c r="AL106" s="8"/>
      <c r="AM106" s="8"/>
      <c r="AN106" s="8" t="s">
        <v>17</v>
      </c>
      <c r="AO106" s="8"/>
      <c r="AP106" s="8"/>
      <c r="AQ106" s="10"/>
    </row>
    <row r="107" spans="1:51" ht="15.75" thickBot="1" x14ac:dyDescent="0.3">
      <c r="A107" s="4" t="s">
        <v>19</v>
      </c>
      <c r="B107" s="5"/>
      <c r="C107" s="6"/>
      <c r="D107" s="7">
        <v>42078</v>
      </c>
      <c r="E107" s="8"/>
      <c r="F107" s="8"/>
      <c r="G107" s="8"/>
      <c r="H107" s="9">
        <v>42093</v>
      </c>
      <c r="I107" s="8"/>
      <c r="J107" s="8"/>
      <c r="K107" s="8"/>
      <c r="L107" s="9">
        <v>42109</v>
      </c>
      <c r="M107" s="8"/>
      <c r="N107" s="8"/>
      <c r="O107" s="8"/>
      <c r="P107" s="9">
        <v>42123</v>
      </c>
      <c r="Q107" s="8"/>
      <c r="R107" s="8"/>
      <c r="S107" s="8"/>
      <c r="T107" s="9"/>
      <c r="U107" s="8"/>
      <c r="V107" s="8"/>
      <c r="W107" s="8"/>
      <c r="X107" s="9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10"/>
    </row>
    <row r="108" spans="1:51" ht="15.75" thickBot="1" x14ac:dyDescent="0.3">
      <c r="D108" s="11">
        <v>218</v>
      </c>
      <c r="E108" s="12"/>
      <c r="F108" s="12"/>
      <c r="G108" s="12"/>
      <c r="H108" s="12">
        <v>218</v>
      </c>
      <c r="I108" s="12"/>
      <c r="J108" s="12"/>
      <c r="K108" s="12"/>
      <c r="L108" s="12">
        <v>218</v>
      </c>
      <c r="M108" s="12"/>
      <c r="N108" s="12"/>
      <c r="O108" s="12"/>
      <c r="P108" s="12">
        <v>218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3"/>
    </row>
    <row r="110" spans="1:51" ht="15.75" thickBot="1" x14ac:dyDescent="0.3"/>
    <row r="111" spans="1:51" ht="15.75" thickBot="1" x14ac:dyDescent="0.3">
      <c r="B111" s="1">
        <v>14</v>
      </c>
      <c r="C111" s="14" t="s">
        <v>3</v>
      </c>
      <c r="D111" s="14"/>
      <c r="E111" s="14"/>
      <c r="F111" s="15" t="s">
        <v>4</v>
      </c>
      <c r="G111" s="15"/>
      <c r="H111" s="15"/>
      <c r="I111" s="15"/>
      <c r="J111" s="15"/>
      <c r="K111" s="15"/>
      <c r="L111" s="15" t="s">
        <v>5</v>
      </c>
      <c r="M111" s="15"/>
      <c r="AI111" s="16" t="s">
        <v>6</v>
      </c>
      <c r="AJ111" s="17"/>
      <c r="AK111" s="17"/>
      <c r="AL111" s="17"/>
      <c r="AN111" s="16" t="s">
        <v>7</v>
      </c>
      <c r="AO111" s="17"/>
      <c r="AP111" s="17"/>
      <c r="AQ111" s="17"/>
      <c r="AT111" s="39" t="s">
        <v>20</v>
      </c>
      <c r="AU111" s="40"/>
      <c r="AV111" s="40"/>
      <c r="AW111" s="40"/>
      <c r="AX111" s="40"/>
      <c r="AY111" s="41"/>
    </row>
    <row r="112" spans="1:51" ht="15.75" thickBot="1" x14ac:dyDescent="0.3">
      <c r="C112" s="22">
        <v>20526</v>
      </c>
      <c r="D112" s="23"/>
      <c r="E112" s="24"/>
      <c r="F112" s="25">
        <v>42151</v>
      </c>
      <c r="G112" s="26"/>
      <c r="H112" s="26"/>
      <c r="I112" s="26"/>
      <c r="J112" s="26"/>
      <c r="K112" s="27"/>
      <c r="L112" s="28">
        <v>4</v>
      </c>
      <c r="M112" s="28"/>
      <c r="AI112" s="29">
        <v>520</v>
      </c>
      <c r="AJ112" s="30"/>
      <c r="AK112" s="30"/>
      <c r="AL112" s="30"/>
      <c r="AN112" s="42">
        <f>AI112-D116-H116-L116-P116-T116-X116-AB116-AF116-AJ116-AN116</f>
        <v>0</v>
      </c>
      <c r="AO112" s="43"/>
      <c r="AP112" s="43"/>
      <c r="AQ112" s="43"/>
      <c r="AT112" s="44" t="s">
        <v>21</v>
      </c>
      <c r="AU112" s="45"/>
      <c r="AV112" s="45"/>
      <c r="AW112" s="45" t="s">
        <v>22</v>
      </c>
      <c r="AX112" s="45"/>
      <c r="AY112" s="46"/>
    </row>
    <row r="113" spans="1:51" ht="15.75" thickBot="1" x14ac:dyDescent="0.3">
      <c r="AT113" s="47">
        <v>11</v>
      </c>
      <c r="AU113" s="48"/>
      <c r="AV113" s="48"/>
      <c r="AW113" s="48">
        <v>14</v>
      </c>
      <c r="AX113" s="48"/>
      <c r="AY113" s="49"/>
    </row>
    <row r="114" spans="1:51" ht="15.75" thickBot="1" x14ac:dyDescent="0.3">
      <c r="D114" s="18" t="s">
        <v>8</v>
      </c>
      <c r="E114" s="8"/>
      <c r="F114" s="8"/>
      <c r="G114" s="8"/>
      <c r="H114" s="8" t="s">
        <v>9</v>
      </c>
      <c r="I114" s="8"/>
      <c r="J114" s="8"/>
      <c r="K114" s="8"/>
      <c r="L114" s="8" t="s">
        <v>10</v>
      </c>
      <c r="M114" s="8"/>
      <c r="N114" s="8"/>
      <c r="O114" s="8"/>
      <c r="P114" s="8" t="s">
        <v>11</v>
      </c>
      <c r="Q114" s="8"/>
      <c r="R114" s="8"/>
      <c r="S114" s="8"/>
      <c r="T114" s="8" t="s">
        <v>12</v>
      </c>
      <c r="U114" s="8"/>
      <c r="V114" s="8"/>
      <c r="W114" s="8"/>
      <c r="X114" s="8" t="s">
        <v>13</v>
      </c>
      <c r="Y114" s="8"/>
      <c r="Z114" s="8"/>
      <c r="AA114" s="8"/>
      <c r="AB114" s="8" t="s">
        <v>14</v>
      </c>
      <c r="AC114" s="8"/>
      <c r="AD114" s="8"/>
      <c r="AE114" s="8"/>
      <c r="AF114" s="8" t="s">
        <v>15</v>
      </c>
      <c r="AG114" s="8"/>
      <c r="AH114" s="8"/>
      <c r="AI114" s="8"/>
      <c r="AJ114" s="8" t="s">
        <v>16</v>
      </c>
      <c r="AK114" s="8"/>
      <c r="AL114" s="8"/>
      <c r="AM114" s="8"/>
      <c r="AN114" s="8" t="s">
        <v>17</v>
      </c>
      <c r="AO114" s="8"/>
      <c r="AP114" s="8"/>
      <c r="AQ114" s="10"/>
    </row>
    <row r="115" spans="1:51" ht="15.75" thickBot="1" x14ac:dyDescent="0.3">
      <c r="A115" s="4" t="s">
        <v>19</v>
      </c>
      <c r="B115" s="5"/>
      <c r="C115" s="6"/>
      <c r="D115" s="7">
        <v>42170</v>
      </c>
      <c r="E115" s="8"/>
      <c r="F115" s="8"/>
      <c r="G115" s="8"/>
      <c r="H115" s="9">
        <v>42185</v>
      </c>
      <c r="I115" s="8"/>
      <c r="J115" s="8"/>
      <c r="K115" s="8"/>
      <c r="L115" s="9">
        <v>42200</v>
      </c>
      <c r="M115" s="8"/>
      <c r="N115" s="8"/>
      <c r="O115" s="8"/>
      <c r="P115" s="9">
        <v>42215</v>
      </c>
      <c r="Q115" s="8"/>
      <c r="R115" s="8"/>
      <c r="S115" s="8"/>
      <c r="T115" s="9"/>
      <c r="U115" s="8"/>
      <c r="V115" s="8"/>
      <c r="W115" s="8"/>
      <c r="X115" s="9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10"/>
    </row>
    <row r="116" spans="1:51" ht="15.75" thickBot="1" x14ac:dyDescent="0.3">
      <c r="D116" s="11">
        <v>130</v>
      </c>
      <c r="E116" s="12"/>
      <c r="F116" s="12"/>
      <c r="G116" s="12"/>
      <c r="H116" s="12">
        <v>130</v>
      </c>
      <c r="I116" s="12"/>
      <c r="J116" s="12"/>
      <c r="K116" s="12"/>
      <c r="L116" s="12">
        <v>130</v>
      </c>
      <c r="M116" s="12"/>
      <c r="N116" s="12"/>
      <c r="O116" s="12"/>
      <c r="P116" s="12">
        <v>130</v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3"/>
    </row>
    <row r="118" spans="1:51" ht="15.75" thickBot="1" x14ac:dyDescent="0.3"/>
    <row r="119" spans="1:51" ht="15.75" thickBot="1" x14ac:dyDescent="0.3">
      <c r="B119" s="1">
        <v>15</v>
      </c>
      <c r="C119" s="14" t="s">
        <v>3</v>
      </c>
      <c r="D119" s="14"/>
      <c r="E119" s="14"/>
      <c r="F119" s="15" t="s">
        <v>4</v>
      </c>
      <c r="G119" s="15"/>
      <c r="H119" s="15"/>
      <c r="I119" s="15"/>
      <c r="J119" s="15"/>
      <c r="K119" s="15"/>
      <c r="L119" s="15" t="s">
        <v>5</v>
      </c>
      <c r="M119" s="15"/>
      <c r="AI119" s="16" t="s">
        <v>6</v>
      </c>
      <c r="AJ119" s="17"/>
      <c r="AK119" s="17"/>
      <c r="AL119" s="17"/>
      <c r="AN119" s="16" t="s">
        <v>7</v>
      </c>
      <c r="AO119" s="17"/>
      <c r="AP119" s="17"/>
      <c r="AQ119" s="17"/>
      <c r="AT119" s="39" t="s">
        <v>20</v>
      </c>
      <c r="AU119" s="40"/>
      <c r="AV119" s="40"/>
      <c r="AW119" s="40"/>
      <c r="AX119" s="40"/>
      <c r="AY119" s="41"/>
    </row>
    <row r="120" spans="1:51" ht="15.75" thickBot="1" x14ac:dyDescent="0.3">
      <c r="C120" s="22">
        <v>21810</v>
      </c>
      <c r="D120" s="23"/>
      <c r="E120" s="24"/>
      <c r="F120" s="25">
        <v>42228</v>
      </c>
      <c r="G120" s="26"/>
      <c r="H120" s="26"/>
      <c r="I120" s="26"/>
      <c r="J120" s="26"/>
      <c r="K120" s="27"/>
      <c r="L120" s="28">
        <v>4</v>
      </c>
      <c r="M120" s="28"/>
      <c r="AI120" s="29">
        <v>500</v>
      </c>
      <c r="AJ120" s="30"/>
      <c r="AK120" s="30"/>
      <c r="AL120" s="30"/>
      <c r="AN120" s="42">
        <f>AI120-D124-H124-L124-P124-T124-X124-AB124-AF124-AJ124-AN124</f>
        <v>0</v>
      </c>
      <c r="AO120" s="43"/>
      <c r="AP120" s="43"/>
      <c r="AQ120" s="43"/>
      <c r="AT120" s="44" t="s">
        <v>21</v>
      </c>
      <c r="AU120" s="45"/>
      <c r="AV120" s="45"/>
      <c r="AW120" s="45" t="s">
        <v>22</v>
      </c>
      <c r="AX120" s="45"/>
      <c r="AY120" s="46"/>
    </row>
    <row r="121" spans="1:51" ht="15.75" thickBot="1" x14ac:dyDescent="0.3">
      <c r="AT121" s="47">
        <v>16</v>
      </c>
      <c r="AU121" s="48"/>
      <c r="AV121" s="48"/>
      <c r="AW121" s="48">
        <v>19</v>
      </c>
      <c r="AX121" s="48"/>
      <c r="AY121" s="49"/>
    </row>
    <row r="122" spans="1:51" ht="15.75" thickBot="1" x14ac:dyDescent="0.3">
      <c r="D122" s="18" t="s">
        <v>8</v>
      </c>
      <c r="E122" s="8"/>
      <c r="F122" s="8"/>
      <c r="G122" s="8"/>
      <c r="H122" s="8" t="s">
        <v>9</v>
      </c>
      <c r="I122" s="8"/>
      <c r="J122" s="8"/>
      <c r="K122" s="8"/>
      <c r="L122" s="8" t="s">
        <v>10</v>
      </c>
      <c r="M122" s="8"/>
      <c r="N122" s="8"/>
      <c r="O122" s="8"/>
      <c r="P122" s="8" t="s">
        <v>11</v>
      </c>
      <c r="Q122" s="8"/>
      <c r="R122" s="8"/>
      <c r="S122" s="8"/>
      <c r="T122" s="8" t="s">
        <v>12</v>
      </c>
      <c r="U122" s="8"/>
      <c r="V122" s="8"/>
      <c r="W122" s="8"/>
      <c r="X122" s="8" t="s">
        <v>13</v>
      </c>
      <c r="Y122" s="8"/>
      <c r="Z122" s="8"/>
      <c r="AA122" s="8"/>
      <c r="AB122" s="8" t="s">
        <v>14</v>
      </c>
      <c r="AC122" s="8"/>
      <c r="AD122" s="8"/>
      <c r="AE122" s="8"/>
      <c r="AF122" s="8" t="s">
        <v>15</v>
      </c>
      <c r="AG122" s="8"/>
      <c r="AH122" s="8"/>
      <c r="AI122" s="8"/>
      <c r="AJ122" s="8" t="s">
        <v>16</v>
      </c>
      <c r="AK122" s="8"/>
      <c r="AL122" s="8"/>
      <c r="AM122" s="8"/>
      <c r="AN122" s="8" t="s">
        <v>17</v>
      </c>
      <c r="AO122" s="8"/>
      <c r="AP122" s="8"/>
      <c r="AQ122" s="10"/>
    </row>
    <row r="123" spans="1:51" ht="15.75" thickBot="1" x14ac:dyDescent="0.3">
      <c r="A123" s="4" t="s">
        <v>19</v>
      </c>
      <c r="B123" s="5"/>
      <c r="C123" s="6"/>
      <c r="D123" s="7">
        <v>42246</v>
      </c>
      <c r="E123" s="8"/>
      <c r="F123" s="8"/>
      <c r="G123" s="8"/>
      <c r="H123" s="9">
        <v>42262</v>
      </c>
      <c r="I123" s="8"/>
      <c r="J123" s="8"/>
      <c r="K123" s="8"/>
      <c r="L123" s="9">
        <v>42276</v>
      </c>
      <c r="M123" s="8"/>
      <c r="N123" s="8"/>
      <c r="O123" s="8"/>
      <c r="P123" s="9">
        <v>42292</v>
      </c>
      <c r="Q123" s="8"/>
      <c r="R123" s="8"/>
      <c r="S123" s="8"/>
      <c r="T123" s="9"/>
      <c r="U123" s="8"/>
      <c r="V123" s="8"/>
      <c r="W123" s="8"/>
      <c r="X123" s="9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10"/>
    </row>
    <row r="124" spans="1:51" ht="15.75" thickBot="1" x14ac:dyDescent="0.3">
      <c r="D124" s="11">
        <v>125</v>
      </c>
      <c r="E124" s="12"/>
      <c r="F124" s="12"/>
      <c r="G124" s="12"/>
      <c r="H124" s="12">
        <v>125</v>
      </c>
      <c r="I124" s="12"/>
      <c r="J124" s="12"/>
      <c r="K124" s="12"/>
      <c r="L124" s="12">
        <v>125</v>
      </c>
      <c r="M124" s="12"/>
      <c r="N124" s="12"/>
      <c r="O124" s="12"/>
      <c r="P124" s="12">
        <v>125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3"/>
    </row>
    <row r="126" spans="1:51" ht="15.75" thickBot="1" x14ac:dyDescent="0.3"/>
    <row r="127" spans="1:51" ht="15.75" thickBot="1" x14ac:dyDescent="0.3">
      <c r="B127" s="1">
        <v>16</v>
      </c>
      <c r="C127" s="14" t="s">
        <v>3</v>
      </c>
      <c r="D127" s="14"/>
      <c r="E127" s="14"/>
      <c r="F127" s="15" t="s">
        <v>4</v>
      </c>
      <c r="G127" s="15"/>
      <c r="H127" s="15"/>
      <c r="I127" s="15"/>
      <c r="J127" s="15"/>
      <c r="K127" s="15"/>
      <c r="L127" s="15" t="s">
        <v>5</v>
      </c>
      <c r="M127" s="15"/>
      <c r="AI127" s="16" t="s">
        <v>6</v>
      </c>
      <c r="AJ127" s="17"/>
      <c r="AK127" s="17"/>
      <c r="AL127" s="17"/>
      <c r="AN127" s="16" t="s">
        <v>7</v>
      </c>
      <c r="AO127" s="17"/>
      <c r="AP127" s="17"/>
      <c r="AQ127" s="17"/>
      <c r="AT127" s="39" t="s">
        <v>20</v>
      </c>
      <c r="AU127" s="40"/>
      <c r="AV127" s="40"/>
      <c r="AW127" s="40"/>
      <c r="AX127" s="40"/>
      <c r="AY127" s="41"/>
    </row>
    <row r="128" spans="1:51" ht="15.75" thickBot="1" x14ac:dyDescent="0.3">
      <c r="C128" s="22">
        <v>23021</v>
      </c>
      <c r="D128" s="23"/>
      <c r="E128" s="24"/>
      <c r="F128" s="25">
        <v>42293</v>
      </c>
      <c r="G128" s="26"/>
      <c r="H128" s="26"/>
      <c r="I128" s="26"/>
      <c r="J128" s="26"/>
      <c r="K128" s="27"/>
      <c r="L128" s="28">
        <v>4</v>
      </c>
      <c r="M128" s="28"/>
      <c r="AI128" s="29">
        <v>730</v>
      </c>
      <c r="AJ128" s="30"/>
      <c r="AK128" s="30"/>
      <c r="AL128" s="30"/>
      <c r="AN128" s="42">
        <f>AI128-D132-H132-L132-P132-T132-X132-AB132-AF132-AJ132-AN132</f>
        <v>0</v>
      </c>
      <c r="AO128" s="43"/>
      <c r="AP128" s="43"/>
      <c r="AQ128" s="43"/>
      <c r="AT128" s="44" t="s">
        <v>21</v>
      </c>
      <c r="AU128" s="45"/>
      <c r="AV128" s="45"/>
      <c r="AW128" s="45" t="s">
        <v>22</v>
      </c>
      <c r="AX128" s="45"/>
      <c r="AY128" s="46"/>
    </row>
    <row r="129" spans="1:51" ht="15.75" thickBot="1" x14ac:dyDescent="0.3">
      <c r="AT129" s="47">
        <v>20</v>
      </c>
      <c r="AU129" s="48"/>
      <c r="AV129" s="48"/>
      <c r="AW129" s="48">
        <v>23</v>
      </c>
      <c r="AX129" s="48"/>
      <c r="AY129" s="49"/>
    </row>
    <row r="130" spans="1:51" ht="15.75" thickBot="1" x14ac:dyDescent="0.3">
      <c r="D130" s="18" t="s">
        <v>8</v>
      </c>
      <c r="E130" s="8"/>
      <c r="F130" s="8"/>
      <c r="G130" s="8"/>
      <c r="H130" s="8" t="s">
        <v>9</v>
      </c>
      <c r="I130" s="8"/>
      <c r="J130" s="8"/>
      <c r="K130" s="8"/>
      <c r="L130" s="8" t="s">
        <v>10</v>
      </c>
      <c r="M130" s="8"/>
      <c r="N130" s="8"/>
      <c r="O130" s="8"/>
      <c r="P130" s="8" t="s">
        <v>11</v>
      </c>
      <c r="Q130" s="8"/>
      <c r="R130" s="8"/>
      <c r="S130" s="8"/>
      <c r="T130" s="8" t="s">
        <v>12</v>
      </c>
      <c r="U130" s="8"/>
      <c r="V130" s="8"/>
      <c r="W130" s="8"/>
      <c r="X130" s="8" t="s">
        <v>13</v>
      </c>
      <c r="Y130" s="8"/>
      <c r="Z130" s="8"/>
      <c r="AA130" s="8"/>
      <c r="AB130" s="8" t="s">
        <v>14</v>
      </c>
      <c r="AC130" s="8"/>
      <c r="AD130" s="8"/>
      <c r="AE130" s="8"/>
      <c r="AF130" s="8" t="s">
        <v>15</v>
      </c>
      <c r="AG130" s="8"/>
      <c r="AH130" s="8"/>
      <c r="AI130" s="8"/>
      <c r="AJ130" s="8" t="s">
        <v>16</v>
      </c>
      <c r="AK130" s="8"/>
      <c r="AL130" s="8"/>
      <c r="AM130" s="8"/>
      <c r="AN130" s="8" t="s">
        <v>17</v>
      </c>
      <c r="AO130" s="8"/>
      <c r="AP130" s="8"/>
      <c r="AQ130" s="10"/>
    </row>
    <row r="131" spans="1:51" ht="15.75" thickBot="1" x14ac:dyDescent="0.3">
      <c r="A131" s="4" t="s">
        <v>19</v>
      </c>
      <c r="B131" s="5"/>
      <c r="C131" s="6"/>
      <c r="D131" s="7">
        <v>42307</v>
      </c>
      <c r="E131" s="8"/>
      <c r="F131" s="8"/>
      <c r="G131" s="8"/>
      <c r="H131" s="9">
        <v>42323</v>
      </c>
      <c r="I131" s="8"/>
      <c r="J131" s="8"/>
      <c r="K131" s="8"/>
      <c r="L131" s="9">
        <v>42338</v>
      </c>
      <c r="M131" s="8"/>
      <c r="N131" s="8"/>
      <c r="O131" s="8"/>
      <c r="P131" s="9">
        <v>42353</v>
      </c>
      <c r="Q131" s="8"/>
      <c r="R131" s="8"/>
      <c r="S131" s="8"/>
      <c r="T131" s="9"/>
      <c r="U131" s="8"/>
      <c r="V131" s="8"/>
      <c r="W131" s="8"/>
      <c r="X131" s="9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10"/>
    </row>
    <row r="132" spans="1:51" ht="15.75" thickBot="1" x14ac:dyDescent="0.3">
      <c r="D132" s="11">
        <v>183</v>
      </c>
      <c r="E132" s="12"/>
      <c r="F132" s="12"/>
      <c r="G132" s="12"/>
      <c r="H132" s="12">
        <v>183</v>
      </c>
      <c r="I132" s="12"/>
      <c r="J132" s="12"/>
      <c r="K132" s="12"/>
      <c r="L132" s="12">
        <v>183</v>
      </c>
      <c r="M132" s="12"/>
      <c r="N132" s="12"/>
      <c r="O132" s="12"/>
      <c r="P132" s="12">
        <v>181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3"/>
    </row>
    <row r="134" spans="1:51" ht="15.75" thickBot="1" x14ac:dyDescent="0.3"/>
    <row r="135" spans="1:51" ht="15.75" thickBot="1" x14ac:dyDescent="0.3">
      <c r="B135" s="1">
        <v>17</v>
      </c>
      <c r="C135" s="14" t="s">
        <v>3</v>
      </c>
      <c r="D135" s="14"/>
      <c r="E135" s="14"/>
      <c r="F135" s="15" t="s">
        <v>4</v>
      </c>
      <c r="G135" s="15"/>
      <c r="H135" s="15"/>
      <c r="I135" s="15"/>
      <c r="J135" s="15"/>
      <c r="K135" s="15"/>
      <c r="L135" s="15" t="s">
        <v>5</v>
      </c>
      <c r="M135" s="15"/>
      <c r="AI135" s="16" t="s">
        <v>6</v>
      </c>
      <c r="AJ135" s="17"/>
      <c r="AK135" s="17"/>
      <c r="AL135" s="17"/>
      <c r="AN135" s="16" t="s">
        <v>7</v>
      </c>
      <c r="AO135" s="17"/>
      <c r="AP135" s="17"/>
      <c r="AQ135" s="17"/>
      <c r="AT135" s="39" t="s">
        <v>20</v>
      </c>
      <c r="AU135" s="40"/>
      <c r="AV135" s="40"/>
      <c r="AW135" s="40"/>
      <c r="AX135" s="40"/>
      <c r="AY135" s="41"/>
    </row>
    <row r="136" spans="1:51" ht="15.75" thickBot="1" x14ac:dyDescent="0.3">
      <c r="C136" s="22">
        <v>24898</v>
      </c>
      <c r="D136" s="23"/>
      <c r="E136" s="24"/>
      <c r="F136" s="25">
        <v>42424</v>
      </c>
      <c r="G136" s="26"/>
      <c r="H136" s="26"/>
      <c r="I136" s="26"/>
      <c r="J136" s="26"/>
      <c r="K136" s="27"/>
      <c r="L136" s="28">
        <v>4</v>
      </c>
      <c r="M136" s="28"/>
      <c r="AI136" s="29">
        <v>650</v>
      </c>
      <c r="AJ136" s="30"/>
      <c r="AK136" s="30"/>
      <c r="AL136" s="30"/>
      <c r="AN136" s="42">
        <f>AI136-D140-H140-L140-P140-T140-X140-AB140-AF140-AJ140-AN140</f>
        <v>0</v>
      </c>
      <c r="AO136" s="43"/>
      <c r="AP136" s="43"/>
      <c r="AQ136" s="43"/>
      <c r="AT136" s="44" t="s">
        <v>21</v>
      </c>
      <c r="AU136" s="45"/>
      <c r="AV136" s="45"/>
      <c r="AW136" s="45" t="s">
        <v>22</v>
      </c>
      <c r="AX136" s="45"/>
      <c r="AY136" s="46"/>
    </row>
    <row r="137" spans="1:51" ht="15.75" thickBot="1" x14ac:dyDescent="0.3">
      <c r="AT137" s="47">
        <v>5</v>
      </c>
      <c r="AU137" s="48"/>
      <c r="AV137" s="48"/>
      <c r="AW137" s="48">
        <v>8</v>
      </c>
      <c r="AX137" s="48"/>
      <c r="AY137" s="49"/>
    </row>
    <row r="138" spans="1:51" ht="15.75" thickBot="1" x14ac:dyDescent="0.3">
      <c r="D138" s="18" t="s">
        <v>8</v>
      </c>
      <c r="E138" s="8"/>
      <c r="F138" s="8"/>
      <c r="G138" s="8"/>
      <c r="H138" s="8" t="s">
        <v>9</v>
      </c>
      <c r="I138" s="8"/>
      <c r="J138" s="8"/>
      <c r="K138" s="8"/>
      <c r="L138" s="8" t="s">
        <v>10</v>
      </c>
      <c r="M138" s="8"/>
      <c r="N138" s="8"/>
      <c r="O138" s="8"/>
      <c r="P138" s="8" t="s">
        <v>11</v>
      </c>
      <c r="Q138" s="8"/>
      <c r="R138" s="8"/>
      <c r="S138" s="8"/>
      <c r="T138" s="8" t="s">
        <v>12</v>
      </c>
      <c r="U138" s="8"/>
      <c r="V138" s="8"/>
      <c r="W138" s="8"/>
      <c r="X138" s="8" t="s">
        <v>13</v>
      </c>
      <c r="Y138" s="8"/>
      <c r="Z138" s="8"/>
      <c r="AA138" s="8"/>
      <c r="AB138" s="8" t="s">
        <v>14</v>
      </c>
      <c r="AC138" s="8"/>
      <c r="AD138" s="8"/>
      <c r="AE138" s="8"/>
      <c r="AF138" s="8" t="s">
        <v>15</v>
      </c>
      <c r="AG138" s="8"/>
      <c r="AH138" s="8"/>
      <c r="AI138" s="8"/>
      <c r="AJ138" s="8" t="s">
        <v>16</v>
      </c>
      <c r="AK138" s="8"/>
      <c r="AL138" s="8"/>
      <c r="AM138" s="8"/>
      <c r="AN138" s="8" t="s">
        <v>17</v>
      </c>
      <c r="AO138" s="8"/>
      <c r="AP138" s="8"/>
      <c r="AQ138" s="10"/>
    </row>
    <row r="139" spans="1:51" ht="15.75" thickBot="1" x14ac:dyDescent="0.3">
      <c r="A139" s="4" t="s">
        <v>19</v>
      </c>
      <c r="B139" s="5"/>
      <c r="C139" s="6"/>
      <c r="D139" s="7">
        <v>42444</v>
      </c>
      <c r="E139" s="8"/>
      <c r="F139" s="8"/>
      <c r="G139" s="8"/>
      <c r="H139" s="9">
        <v>42459</v>
      </c>
      <c r="I139" s="8"/>
      <c r="J139" s="8"/>
      <c r="K139" s="8"/>
      <c r="L139" s="9">
        <v>42475</v>
      </c>
      <c r="M139" s="8"/>
      <c r="N139" s="8"/>
      <c r="O139" s="8"/>
      <c r="P139" s="9">
        <v>42490</v>
      </c>
      <c r="Q139" s="8"/>
      <c r="R139" s="8"/>
      <c r="S139" s="8"/>
      <c r="T139" s="9"/>
      <c r="U139" s="8"/>
      <c r="V139" s="8"/>
      <c r="W139" s="8"/>
      <c r="X139" s="9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10"/>
    </row>
    <row r="140" spans="1:51" ht="15.75" thickBot="1" x14ac:dyDescent="0.3">
      <c r="D140" s="11">
        <v>163</v>
      </c>
      <c r="E140" s="12"/>
      <c r="F140" s="12"/>
      <c r="G140" s="12"/>
      <c r="H140" s="12">
        <v>163</v>
      </c>
      <c r="I140" s="12"/>
      <c r="J140" s="12"/>
      <c r="K140" s="12"/>
      <c r="L140" s="12">
        <v>163</v>
      </c>
      <c r="M140" s="12"/>
      <c r="N140" s="12"/>
      <c r="O140" s="12"/>
      <c r="P140" s="12">
        <v>161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3"/>
    </row>
    <row r="142" spans="1:51" ht="15.75" thickBot="1" x14ac:dyDescent="0.3"/>
    <row r="143" spans="1:51" ht="15.75" thickBot="1" x14ac:dyDescent="0.3">
      <c r="B143" s="1">
        <v>18</v>
      </c>
      <c r="C143" s="14" t="s">
        <v>3</v>
      </c>
      <c r="D143" s="14"/>
      <c r="E143" s="14"/>
      <c r="F143" s="15" t="s">
        <v>4</v>
      </c>
      <c r="G143" s="15"/>
      <c r="H143" s="15"/>
      <c r="I143" s="15"/>
      <c r="J143" s="15"/>
      <c r="K143" s="15"/>
      <c r="L143" s="15" t="s">
        <v>5</v>
      </c>
      <c r="M143" s="15"/>
      <c r="AI143" s="16" t="s">
        <v>6</v>
      </c>
      <c r="AJ143" s="17"/>
      <c r="AK143" s="17"/>
      <c r="AL143" s="17"/>
      <c r="AN143" s="16" t="s">
        <v>7</v>
      </c>
      <c r="AO143" s="17"/>
      <c r="AP143" s="17"/>
      <c r="AQ143" s="17"/>
      <c r="AT143" s="39" t="s">
        <v>20</v>
      </c>
      <c r="AU143" s="40"/>
      <c r="AV143" s="40"/>
      <c r="AW143" s="40"/>
      <c r="AX143" s="40"/>
      <c r="AY143" s="41"/>
    </row>
    <row r="144" spans="1:51" ht="15.75" thickBot="1" x14ac:dyDescent="0.3">
      <c r="C144" s="22">
        <v>25258</v>
      </c>
      <c r="D144" s="23"/>
      <c r="E144" s="24"/>
      <c r="F144" s="25">
        <v>42456</v>
      </c>
      <c r="G144" s="26"/>
      <c r="H144" s="26"/>
      <c r="I144" s="26"/>
      <c r="J144" s="26"/>
      <c r="K144" s="27"/>
      <c r="L144" s="28">
        <v>4</v>
      </c>
      <c r="M144" s="28"/>
      <c r="AI144" s="29">
        <v>520</v>
      </c>
      <c r="AJ144" s="30"/>
      <c r="AK144" s="30"/>
      <c r="AL144" s="30"/>
      <c r="AN144" s="42">
        <f>AI144-D148-H148-L148-P148-T148-X148-AB148-AF148-AJ148-AN148</f>
        <v>0</v>
      </c>
      <c r="AO144" s="43"/>
      <c r="AP144" s="43"/>
      <c r="AQ144" s="43"/>
      <c r="AT144" s="44" t="s">
        <v>21</v>
      </c>
      <c r="AU144" s="45"/>
      <c r="AV144" s="45"/>
      <c r="AW144" s="45" t="s">
        <v>22</v>
      </c>
      <c r="AX144" s="45"/>
      <c r="AY144" s="46"/>
    </row>
    <row r="145" spans="1:51" ht="15.75" thickBot="1" x14ac:dyDescent="0.3">
      <c r="AT145" s="47">
        <v>7</v>
      </c>
      <c r="AU145" s="48"/>
      <c r="AV145" s="48"/>
      <c r="AW145" s="48">
        <v>10</v>
      </c>
      <c r="AX145" s="48"/>
      <c r="AY145" s="49"/>
    </row>
    <row r="146" spans="1:51" ht="15.75" thickBot="1" x14ac:dyDescent="0.3">
      <c r="D146" s="18" t="s">
        <v>8</v>
      </c>
      <c r="E146" s="8"/>
      <c r="F146" s="8"/>
      <c r="G146" s="8"/>
      <c r="H146" s="8" t="s">
        <v>9</v>
      </c>
      <c r="I146" s="8"/>
      <c r="J146" s="8"/>
      <c r="K146" s="8"/>
      <c r="L146" s="8" t="s">
        <v>10</v>
      </c>
      <c r="M146" s="8"/>
      <c r="N146" s="8"/>
      <c r="O146" s="8"/>
      <c r="P146" s="8" t="s">
        <v>11</v>
      </c>
      <c r="Q146" s="8"/>
      <c r="R146" s="8"/>
      <c r="S146" s="8"/>
      <c r="T146" s="8" t="s">
        <v>12</v>
      </c>
      <c r="U146" s="8"/>
      <c r="V146" s="8"/>
      <c r="W146" s="8"/>
      <c r="X146" s="8" t="s">
        <v>13</v>
      </c>
      <c r="Y146" s="8"/>
      <c r="Z146" s="8"/>
      <c r="AA146" s="8"/>
      <c r="AB146" s="8" t="s">
        <v>14</v>
      </c>
      <c r="AC146" s="8"/>
      <c r="AD146" s="8"/>
      <c r="AE146" s="8"/>
      <c r="AF146" s="8" t="s">
        <v>15</v>
      </c>
      <c r="AG146" s="8"/>
      <c r="AH146" s="8"/>
      <c r="AI146" s="8"/>
      <c r="AJ146" s="8" t="s">
        <v>16</v>
      </c>
      <c r="AK146" s="8"/>
      <c r="AL146" s="8"/>
      <c r="AM146" s="8"/>
      <c r="AN146" s="8" t="s">
        <v>17</v>
      </c>
      <c r="AO146" s="8"/>
      <c r="AP146" s="8"/>
      <c r="AQ146" s="10"/>
    </row>
    <row r="147" spans="1:51" ht="15.75" thickBot="1" x14ac:dyDescent="0.3">
      <c r="A147" s="4" t="s">
        <v>19</v>
      </c>
      <c r="B147" s="5"/>
      <c r="C147" s="6"/>
      <c r="D147" s="7">
        <v>42475</v>
      </c>
      <c r="E147" s="8"/>
      <c r="F147" s="8"/>
      <c r="G147" s="8"/>
      <c r="H147" s="9">
        <v>42490</v>
      </c>
      <c r="I147" s="8"/>
      <c r="J147" s="8"/>
      <c r="K147" s="8"/>
      <c r="L147" s="9">
        <v>42505</v>
      </c>
      <c r="M147" s="8"/>
      <c r="N147" s="8"/>
      <c r="O147" s="8"/>
      <c r="P147" s="9">
        <v>42520</v>
      </c>
      <c r="Q147" s="8"/>
      <c r="R147" s="8"/>
      <c r="S147" s="8"/>
      <c r="T147" s="9"/>
      <c r="U147" s="8"/>
      <c r="V147" s="8"/>
      <c r="W147" s="8"/>
      <c r="X147" s="9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10"/>
    </row>
    <row r="148" spans="1:51" ht="15.75" thickBot="1" x14ac:dyDescent="0.3">
      <c r="D148" s="11">
        <v>130</v>
      </c>
      <c r="E148" s="12"/>
      <c r="F148" s="12"/>
      <c r="G148" s="12"/>
      <c r="H148" s="12">
        <v>130</v>
      </c>
      <c r="I148" s="12"/>
      <c r="J148" s="12"/>
      <c r="K148" s="12"/>
      <c r="L148" s="12">
        <v>130</v>
      </c>
      <c r="M148" s="12"/>
      <c r="N148" s="12"/>
      <c r="O148" s="12"/>
      <c r="P148" s="12">
        <v>130</v>
      </c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3"/>
    </row>
    <row r="150" spans="1:51" ht="15.75" thickBot="1" x14ac:dyDescent="0.3"/>
    <row r="151" spans="1:51" ht="15.75" thickBot="1" x14ac:dyDescent="0.3">
      <c r="B151" s="1">
        <v>19</v>
      </c>
      <c r="C151" s="14" t="s">
        <v>3</v>
      </c>
      <c r="D151" s="14"/>
      <c r="E151" s="14"/>
      <c r="F151" s="15" t="s">
        <v>4</v>
      </c>
      <c r="G151" s="15"/>
      <c r="H151" s="15"/>
      <c r="I151" s="15"/>
      <c r="J151" s="15"/>
      <c r="K151" s="15"/>
      <c r="L151" s="15" t="s">
        <v>5</v>
      </c>
      <c r="M151" s="15"/>
      <c r="AI151" s="16" t="s">
        <v>6</v>
      </c>
      <c r="AJ151" s="17"/>
      <c r="AK151" s="17"/>
      <c r="AL151" s="17"/>
      <c r="AN151" s="16" t="s">
        <v>7</v>
      </c>
      <c r="AO151" s="17"/>
      <c r="AP151" s="17"/>
      <c r="AQ151" s="17"/>
      <c r="AT151" s="39" t="s">
        <v>20</v>
      </c>
      <c r="AU151" s="40"/>
      <c r="AV151" s="40"/>
      <c r="AW151" s="40"/>
      <c r="AX151" s="40"/>
      <c r="AY151" s="41"/>
    </row>
    <row r="152" spans="1:51" ht="15.75" thickBot="1" x14ac:dyDescent="0.3">
      <c r="C152" s="22">
        <v>26098</v>
      </c>
      <c r="D152" s="23"/>
      <c r="E152" s="24"/>
      <c r="F152" s="25">
        <v>42501</v>
      </c>
      <c r="G152" s="26"/>
      <c r="H152" s="26"/>
      <c r="I152" s="26"/>
      <c r="J152" s="26"/>
      <c r="K152" s="27"/>
      <c r="L152" s="28">
        <v>4</v>
      </c>
      <c r="M152" s="28"/>
      <c r="AI152" s="29">
        <v>270</v>
      </c>
      <c r="AJ152" s="30"/>
      <c r="AK152" s="30"/>
      <c r="AL152" s="30"/>
      <c r="AN152" s="42">
        <f>AI152-D156-H156-L156-P156-T156-X156-AB156-AF156-AJ156-AN156</f>
        <v>-2</v>
      </c>
      <c r="AO152" s="43"/>
      <c r="AP152" s="43"/>
      <c r="AQ152" s="43"/>
      <c r="AT152" s="44" t="s">
        <v>21</v>
      </c>
      <c r="AU152" s="45"/>
      <c r="AV152" s="45"/>
      <c r="AW152" s="45" t="s">
        <v>22</v>
      </c>
      <c r="AX152" s="45"/>
      <c r="AY152" s="46"/>
    </row>
    <row r="153" spans="1:51" ht="15.75" thickBot="1" x14ac:dyDescent="0.3">
      <c r="AT153" s="47">
        <v>10</v>
      </c>
      <c r="AU153" s="48"/>
      <c r="AV153" s="48"/>
      <c r="AW153" s="48">
        <v>13</v>
      </c>
      <c r="AX153" s="48"/>
      <c r="AY153" s="49"/>
    </row>
    <row r="154" spans="1:51" ht="15.75" thickBot="1" x14ac:dyDescent="0.3">
      <c r="D154" s="18" t="s">
        <v>8</v>
      </c>
      <c r="E154" s="8"/>
      <c r="F154" s="8"/>
      <c r="G154" s="8"/>
      <c r="H154" s="8" t="s">
        <v>9</v>
      </c>
      <c r="I154" s="8"/>
      <c r="J154" s="8"/>
      <c r="K154" s="8"/>
      <c r="L154" s="8" t="s">
        <v>10</v>
      </c>
      <c r="M154" s="8"/>
      <c r="N154" s="8"/>
      <c r="O154" s="8"/>
      <c r="P154" s="8" t="s">
        <v>11</v>
      </c>
      <c r="Q154" s="8"/>
      <c r="R154" s="8"/>
      <c r="S154" s="8"/>
      <c r="T154" s="8" t="s">
        <v>12</v>
      </c>
      <c r="U154" s="8"/>
      <c r="V154" s="8"/>
      <c r="W154" s="8"/>
      <c r="X154" s="8" t="s">
        <v>13</v>
      </c>
      <c r="Y154" s="8"/>
      <c r="Z154" s="8"/>
      <c r="AA154" s="8"/>
      <c r="AB154" s="8" t="s">
        <v>14</v>
      </c>
      <c r="AC154" s="8"/>
      <c r="AD154" s="8"/>
      <c r="AE154" s="8"/>
      <c r="AF154" s="8" t="s">
        <v>15</v>
      </c>
      <c r="AG154" s="8"/>
      <c r="AH154" s="8"/>
      <c r="AI154" s="8"/>
      <c r="AJ154" s="8" t="s">
        <v>16</v>
      </c>
      <c r="AK154" s="8"/>
      <c r="AL154" s="8"/>
      <c r="AM154" s="8"/>
      <c r="AN154" s="8" t="s">
        <v>17</v>
      </c>
      <c r="AO154" s="8"/>
      <c r="AP154" s="8"/>
      <c r="AQ154" s="10"/>
    </row>
    <row r="155" spans="1:51" ht="15.75" thickBot="1" x14ac:dyDescent="0.3">
      <c r="A155" s="4" t="s">
        <v>19</v>
      </c>
      <c r="B155" s="5"/>
      <c r="C155" s="6"/>
      <c r="D155" s="7">
        <v>42520</v>
      </c>
      <c r="E155" s="8"/>
      <c r="F155" s="8"/>
      <c r="G155" s="8"/>
      <c r="H155" s="9">
        <v>42536</v>
      </c>
      <c r="I155" s="8"/>
      <c r="J155" s="8"/>
      <c r="K155" s="8"/>
      <c r="L155" s="9">
        <v>42551</v>
      </c>
      <c r="M155" s="8"/>
      <c r="N155" s="8"/>
      <c r="O155" s="8"/>
      <c r="P155" s="9">
        <v>42566</v>
      </c>
      <c r="Q155" s="8"/>
      <c r="R155" s="8"/>
      <c r="S155" s="8"/>
      <c r="T155" s="9"/>
      <c r="U155" s="8"/>
      <c r="V155" s="8"/>
      <c r="W155" s="8"/>
      <c r="X155" s="9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10"/>
    </row>
    <row r="156" spans="1:51" ht="15.75" thickBot="1" x14ac:dyDescent="0.3">
      <c r="D156" s="11">
        <v>68</v>
      </c>
      <c r="E156" s="12"/>
      <c r="F156" s="12"/>
      <c r="G156" s="12"/>
      <c r="H156" s="12">
        <v>68</v>
      </c>
      <c r="I156" s="12"/>
      <c r="J156" s="12"/>
      <c r="K156" s="12"/>
      <c r="L156" s="12">
        <v>68</v>
      </c>
      <c r="M156" s="12"/>
      <c r="N156" s="12"/>
      <c r="O156" s="12"/>
      <c r="P156" s="12">
        <v>68</v>
      </c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3"/>
    </row>
    <row r="158" spans="1:51" ht="15.75" thickBot="1" x14ac:dyDescent="0.3"/>
    <row r="159" spans="1:51" ht="15.75" thickBot="1" x14ac:dyDescent="0.3">
      <c r="B159" s="1">
        <v>20</v>
      </c>
      <c r="C159" s="14" t="s">
        <v>3</v>
      </c>
      <c r="D159" s="14"/>
      <c r="E159" s="14"/>
      <c r="F159" s="15" t="s">
        <v>4</v>
      </c>
      <c r="G159" s="15"/>
      <c r="H159" s="15"/>
      <c r="I159" s="15"/>
      <c r="J159" s="15"/>
      <c r="K159" s="15"/>
      <c r="L159" s="15" t="s">
        <v>5</v>
      </c>
      <c r="M159" s="15"/>
      <c r="AI159" s="16" t="s">
        <v>6</v>
      </c>
      <c r="AJ159" s="17"/>
      <c r="AK159" s="17"/>
      <c r="AL159" s="17"/>
      <c r="AN159" s="16" t="s">
        <v>7</v>
      </c>
      <c r="AO159" s="17"/>
      <c r="AP159" s="17"/>
      <c r="AQ159" s="17"/>
      <c r="AT159" s="39" t="s">
        <v>20</v>
      </c>
      <c r="AU159" s="40"/>
      <c r="AV159" s="40"/>
      <c r="AW159" s="40"/>
      <c r="AX159" s="40"/>
      <c r="AY159" s="41"/>
    </row>
    <row r="160" spans="1:51" ht="15.75" thickBot="1" x14ac:dyDescent="0.3">
      <c r="C160" s="22">
        <v>26582</v>
      </c>
      <c r="D160" s="23"/>
      <c r="E160" s="24"/>
      <c r="F160" s="25">
        <v>42539</v>
      </c>
      <c r="G160" s="26"/>
      <c r="H160" s="26"/>
      <c r="I160" s="26"/>
      <c r="J160" s="26"/>
      <c r="K160" s="27"/>
      <c r="L160" s="28">
        <v>4</v>
      </c>
      <c r="M160" s="28"/>
      <c r="AI160" s="29">
        <v>660</v>
      </c>
      <c r="AJ160" s="30"/>
      <c r="AK160" s="30"/>
      <c r="AL160" s="30"/>
      <c r="AN160" s="42">
        <f>AI160-D164-H164-L164-P164-T164-X164-AB164-AF164-AJ164-AN164</f>
        <v>0</v>
      </c>
      <c r="AO160" s="43"/>
      <c r="AP160" s="43"/>
      <c r="AQ160" s="43"/>
      <c r="AT160" s="44" t="s">
        <v>21</v>
      </c>
      <c r="AU160" s="45"/>
      <c r="AV160" s="45"/>
      <c r="AW160" s="45" t="s">
        <v>22</v>
      </c>
      <c r="AX160" s="45"/>
      <c r="AY160" s="46"/>
    </row>
    <row r="161" spans="1:52" ht="15.75" thickBot="1" x14ac:dyDescent="0.3">
      <c r="AT161" s="47">
        <v>12</v>
      </c>
      <c r="AU161" s="48"/>
      <c r="AV161" s="48"/>
      <c r="AW161" s="48">
        <v>15</v>
      </c>
      <c r="AX161" s="48"/>
      <c r="AY161" s="49"/>
    </row>
    <row r="162" spans="1:52" ht="15.75" thickBot="1" x14ac:dyDescent="0.3">
      <c r="D162" s="18" t="s">
        <v>8</v>
      </c>
      <c r="E162" s="8"/>
      <c r="F162" s="8"/>
      <c r="G162" s="8"/>
      <c r="H162" s="8" t="s">
        <v>9</v>
      </c>
      <c r="I162" s="8"/>
      <c r="J162" s="8"/>
      <c r="K162" s="8"/>
      <c r="L162" s="8" t="s">
        <v>10</v>
      </c>
      <c r="M162" s="8"/>
      <c r="N162" s="8"/>
      <c r="O162" s="8"/>
      <c r="P162" s="8" t="s">
        <v>11</v>
      </c>
      <c r="Q162" s="8"/>
      <c r="R162" s="8"/>
      <c r="S162" s="8"/>
      <c r="T162" s="8" t="s">
        <v>12</v>
      </c>
      <c r="U162" s="8"/>
      <c r="V162" s="8"/>
      <c r="W162" s="8"/>
      <c r="X162" s="8" t="s">
        <v>13</v>
      </c>
      <c r="Y162" s="8"/>
      <c r="Z162" s="8"/>
      <c r="AA162" s="8"/>
      <c r="AB162" s="8" t="s">
        <v>14</v>
      </c>
      <c r="AC162" s="8"/>
      <c r="AD162" s="8"/>
      <c r="AE162" s="8"/>
      <c r="AF162" s="8" t="s">
        <v>15</v>
      </c>
      <c r="AG162" s="8"/>
      <c r="AH162" s="8"/>
      <c r="AI162" s="8"/>
      <c r="AJ162" s="8" t="s">
        <v>16</v>
      </c>
      <c r="AK162" s="8"/>
      <c r="AL162" s="8"/>
      <c r="AM162" s="8"/>
      <c r="AN162" s="8" t="s">
        <v>17</v>
      </c>
      <c r="AO162" s="8"/>
      <c r="AP162" s="8"/>
      <c r="AQ162" s="10"/>
    </row>
    <row r="163" spans="1:52" ht="15.75" thickBot="1" x14ac:dyDescent="0.3">
      <c r="A163" s="4" t="s">
        <v>19</v>
      </c>
      <c r="B163" s="5"/>
      <c r="C163" s="6"/>
      <c r="D163" s="7">
        <v>42551</v>
      </c>
      <c r="E163" s="8"/>
      <c r="F163" s="8"/>
      <c r="G163" s="8"/>
      <c r="H163" s="9">
        <v>42566</v>
      </c>
      <c r="I163" s="8"/>
      <c r="J163" s="8"/>
      <c r="K163" s="8"/>
      <c r="L163" s="9">
        <v>42582</v>
      </c>
      <c r="M163" s="8"/>
      <c r="N163" s="8"/>
      <c r="O163" s="8"/>
      <c r="P163" s="9">
        <v>42596</v>
      </c>
      <c r="Q163" s="8"/>
      <c r="R163" s="8"/>
      <c r="S163" s="8"/>
      <c r="T163" s="9"/>
      <c r="U163" s="8"/>
      <c r="V163" s="8"/>
      <c r="W163" s="8"/>
      <c r="X163" s="9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10"/>
    </row>
    <row r="164" spans="1:52" ht="15.75" thickBot="1" x14ac:dyDescent="0.3">
      <c r="D164" s="11">
        <v>165</v>
      </c>
      <c r="E164" s="12"/>
      <c r="F164" s="12"/>
      <c r="G164" s="12"/>
      <c r="H164" s="12">
        <v>165</v>
      </c>
      <c r="I164" s="12"/>
      <c r="J164" s="12"/>
      <c r="K164" s="12"/>
      <c r="L164" s="12">
        <v>165</v>
      </c>
      <c r="M164" s="12"/>
      <c r="N164" s="12"/>
      <c r="O164" s="12"/>
      <c r="P164" s="12">
        <v>165</v>
      </c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3"/>
    </row>
    <row r="166" spans="1:52" ht="15.75" thickBot="1" x14ac:dyDescent="0.3">
      <c r="B166" t="s">
        <v>25</v>
      </c>
    </row>
    <row r="167" spans="1:52" ht="15.75" thickBot="1" x14ac:dyDescent="0.3">
      <c r="C167" s="1">
        <v>21</v>
      </c>
      <c r="D167" s="14" t="s">
        <v>3</v>
      </c>
      <c r="E167" s="14"/>
      <c r="F167" s="14"/>
      <c r="G167" s="15" t="s">
        <v>4</v>
      </c>
      <c r="H167" s="15"/>
      <c r="I167" s="15"/>
      <c r="J167" s="15"/>
      <c r="K167" s="15"/>
      <c r="L167" s="15"/>
      <c r="M167" s="15" t="s">
        <v>5</v>
      </c>
      <c r="N167" s="15"/>
      <c r="AJ167" s="16" t="s">
        <v>6</v>
      </c>
      <c r="AK167" s="17"/>
      <c r="AL167" s="17"/>
      <c r="AM167" s="17"/>
      <c r="AO167" s="16" t="s">
        <v>7</v>
      </c>
      <c r="AP167" s="17"/>
      <c r="AQ167" s="17"/>
      <c r="AR167" s="17"/>
      <c r="AU167" s="39" t="s">
        <v>20</v>
      </c>
      <c r="AV167" s="40"/>
      <c r="AW167" s="40"/>
      <c r="AX167" s="40"/>
      <c r="AY167" s="40"/>
      <c r="AZ167" s="41"/>
    </row>
    <row r="168" spans="1:52" ht="15.75" thickBot="1" x14ac:dyDescent="0.3">
      <c r="D168" s="22">
        <v>27671</v>
      </c>
      <c r="E168" s="23"/>
      <c r="F168" s="24"/>
      <c r="G168" s="25">
        <v>42603</v>
      </c>
      <c r="H168" s="26"/>
      <c r="I168" s="26"/>
      <c r="J168" s="26"/>
      <c r="K168" s="26"/>
      <c r="L168" s="27"/>
      <c r="M168" s="28">
        <v>4</v>
      </c>
      <c r="N168" s="28"/>
      <c r="AJ168" s="29">
        <v>250</v>
      </c>
      <c r="AK168" s="30"/>
      <c r="AL168" s="30"/>
      <c r="AM168" s="30"/>
      <c r="AO168" s="42">
        <f>AJ168-E172-I172-M172-Q172-U172-Y172-AC172-AG172-AK172-AO172</f>
        <v>-2</v>
      </c>
      <c r="AP168" s="43"/>
      <c r="AQ168" s="43"/>
      <c r="AR168" s="43"/>
      <c r="AU168" s="44" t="s">
        <v>21</v>
      </c>
      <c r="AV168" s="45"/>
      <c r="AW168" s="45"/>
      <c r="AX168" s="45" t="s">
        <v>22</v>
      </c>
      <c r="AY168" s="45"/>
      <c r="AZ168" s="46"/>
    </row>
    <row r="169" spans="1:52" ht="15.75" thickBot="1" x14ac:dyDescent="0.3">
      <c r="AU169" s="47">
        <v>16</v>
      </c>
      <c r="AV169" s="48"/>
      <c r="AW169" s="48"/>
      <c r="AX169" s="48">
        <v>19</v>
      </c>
      <c r="AY169" s="48"/>
      <c r="AZ169" s="49"/>
    </row>
    <row r="170" spans="1:52" ht="15.75" thickBot="1" x14ac:dyDescent="0.3">
      <c r="E170" s="18" t="s">
        <v>8</v>
      </c>
      <c r="F170" s="8"/>
      <c r="G170" s="8"/>
      <c r="H170" s="8"/>
      <c r="I170" s="8" t="s">
        <v>9</v>
      </c>
      <c r="J170" s="8"/>
      <c r="K170" s="8"/>
      <c r="L170" s="8"/>
      <c r="M170" s="8" t="s">
        <v>10</v>
      </c>
      <c r="N170" s="8"/>
      <c r="O170" s="8"/>
      <c r="P170" s="8"/>
      <c r="Q170" s="8" t="s">
        <v>11</v>
      </c>
      <c r="R170" s="8"/>
      <c r="S170" s="8"/>
      <c r="T170" s="8"/>
      <c r="U170" s="8" t="s">
        <v>12</v>
      </c>
      <c r="V170" s="8"/>
      <c r="W170" s="8"/>
      <c r="X170" s="8"/>
      <c r="Y170" s="8" t="s">
        <v>13</v>
      </c>
      <c r="Z170" s="8"/>
      <c r="AA170" s="8"/>
      <c r="AB170" s="8"/>
      <c r="AC170" s="8" t="s">
        <v>14</v>
      </c>
      <c r="AD170" s="8"/>
      <c r="AE170" s="8"/>
      <c r="AF170" s="8"/>
      <c r="AG170" s="8" t="s">
        <v>15</v>
      </c>
      <c r="AH170" s="8"/>
      <c r="AI170" s="8"/>
      <c r="AJ170" s="8"/>
      <c r="AK170" s="8" t="s">
        <v>16</v>
      </c>
      <c r="AL170" s="8"/>
      <c r="AM170" s="8"/>
      <c r="AN170" s="8"/>
      <c r="AO170" s="8" t="s">
        <v>17</v>
      </c>
      <c r="AP170" s="8"/>
      <c r="AQ170" s="8"/>
      <c r="AR170" s="10"/>
    </row>
    <row r="171" spans="1:52" ht="15.75" thickBot="1" x14ac:dyDescent="0.3">
      <c r="B171" s="4" t="s">
        <v>19</v>
      </c>
      <c r="C171" s="5"/>
      <c r="D171" s="6"/>
      <c r="E171" s="7">
        <v>42612</v>
      </c>
      <c r="F171" s="8"/>
      <c r="G171" s="8"/>
      <c r="H171" s="8"/>
      <c r="I171" s="9">
        <v>42628</v>
      </c>
      <c r="J171" s="8"/>
      <c r="K171" s="8"/>
      <c r="L171" s="8"/>
      <c r="M171" s="9">
        <v>42643</v>
      </c>
      <c r="N171" s="8"/>
      <c r="O171" s="8"/>
      <c r="P171" s="8"/>
      <c r="Q171" s="9">
        <v>42658</v>
      </c>
      <c r="R171" s="8"/>
      <c r="S171" s="8"/>
      <c r="T171" s="8"/>
      <c r="U171" s="9"/>
      <c r="V171" s="8"/>
      <c r="W171" s="8"/>
      <c r="X171" s="8"/>
      <c r="Y171" s="9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10"/>
    </row>
    <row r="172" spans="1:52" ht="15.75" thickBot="1" x14ac:dyDescent="0.3">
      <c r="E172" s="11">
        <v>63</v>
      </c>
      <c r="F172" s="12"/>
      <c r="G172" s="12"/>
      <c r="H172" s="12"/>
      <c r="I172" s="12">
        <v>63</v>
      </c>
      <c r="J172" s="12"/>
      <c r="K172" s="12"/>
      <c r="L172" s="12"/>
      <c r="M172" s="12">
        <v>63</v>
      </c>
      <c r="N172" s="12"/>
      <c r="O172" s="12"/>
      <c r="P172" s="12"/>
      <c r="Q172" s="12">
        <v>63</v>
      </c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3"/>
    </row>
    <row r="174" spans="1:52" ht="15.75" thickBot="1" x14ac:dyDescent="0.3"/>
    <row r="175" spans="1:52" ht="15.75" thickBot="1" x14ac:dyDescent="0.3">
      <c r="D175" s="15" t="s">
        <v>3</v>
      </c>
      <c r="E175" s="15"/>
      <c r="F175" s="15"/>
      <c r="G175" s="15" t="s">
        <v>4</v>
      </c>
      <c r="H175" s="15"/>
      <c r="I175" s="15"/>
      <c r="J175" s="15"/>
      <c r="K175" s="15"/>
      <c r="L175" s="15"/>
      <c r="M175" s="15" t="s">
        <v>5</v>
      </c>
      <c r="N175" s="15"/>
      <c r="AJ175" s="16" t="s">
        <v>6</v>
      </c>
      <c r="AK175" s="17"/>
      <c r="AL175" s="17"/>
      <c r="AM175" s="17"/>
      <c r="AO175" s="16" t="s">
        <v>7</v>
      </c>
      <c r="AP175" s="17"/>
      <c r="AQ175" s="17"/>
      <c r="AR175" s="17"/>
      <c r="AU175" s="39" t="s">
        <v>20</v>
      </c>
      <c r="AV175" s="40"/>
      <c r="AW175" s="40"/>
      <c r="AX175" s="40"/>
      <c r="AY175" s="40"/>
      <c r="AZ175" s="41"/>
    </row>
    <row r="176" spans="1:52" ht="15.75" thickBot="1" x14ac:dyDescent="0.3">
      <c r="D176" s="50"/>
      <c r="E176" s="51"/>
      <c r="F176" s="52"/>
      <c r="G176" s="25"/>
      <c r="H176" s="26"/>
      <c r="I176" s="26"/>
      <c r="J176" s="26"/>
      <c r="K176" s="26"/>
      <c r="L176" s="27"/>
      <c r="M176" s="28"/>
      <c r="N176" s="28"/>
      <c r="T176" t="s">
        <v>26</v>
      </c>
      <c r="AJ176" s="29">
        <v>250</v>
      </c>
      <c r="AK176" s="30"/>
      <c r="AL176" s="30"/>
      <c r="AM176" s="30"/>
      <c r="AO176" s="42">
        <f>AJ176-E180-I180-M180-Q180-U180-Y180-AC180-AG180-AK180-AO180</f>
        <v>1</v>
      </c>
      <c r="AP176" s="43"/>
      <c r="AQ176" s="43"/>
      <c r="AR176" s="43"/>
      <c r="AU176" s="44" t="s">
        <v>21</v>
      </c>
      <c r="AV176" s="45"/>
      <c r="AW176" s="45"/>
      <c r="AX176" s="45" t="s">
        <v>22</v>
      </c>
      <c r="AY176" s="45"/>
      <c r="AZ176" s="46"/>
    </row>
    <row r="177" spans="2:52" ht="15.75" thickBot="1" x14ac:dyDescent="0.3">
      <c r="AU177" s="47"/>
      <c r="AV177" s="48"/>
      <c r="AW177" s="48"/>
      <c r="AX177" s="48"/>
      <c r="AY177" s="48"/>
      <c r="AZ177" s="49"/>
    </row>
    <row r="178" spans="2:52" ht="15.75" thickBot="1" x14ac:dyDescent="0.3">
      <c r="E178" s="18" t="s">
        <v>8</v>
      </c>
      <c r="F178" s="8"/>
      <c r="G178" s="8"/>
      <c r="H178" s="8"/>
      <c r="I178" s="8" t="s">
        <v>9</v>
      </c>
      <c r="J178" s="8"/>
      <c r="K178" s="8"/>
      <c r="L178" s="8"/>
      <c r="M178" s="8" t="s">
        <v>10</v>
      </c>
      <c r="N178" s="8"/>
      <c r="O178" s="8"/>
      <c r="P178" s="8"/>
      <c r="Q178" s="8" t="s">
        <v>11</v>
      </c>
      <c r="R178" s="8"/>
      <c r="S178" s="8"/>
      <c r="T178" s="8"/>
      <c r="U178" s="8" t="s">
        <v>12</v>
      </c>
      <c r="V178" s="8"/>
      <c r="W178" s="8"/>
      <c r="X178" s="8"/>
      <c r="Y178" s="8" t="s">
        <v>13</v>
      </c>
      <c r="Z178" s="8"/>
      <c r="AA178" s="8"/>
      <c r="AB178" s="8"/>
      <c r="AC178" s="8" t="s">
        <v>14</v>
      </c>
      <c r="AD178" s="8"/>
      <c r="AE178" s="8"/>
      <c r="AF178" s="8"/>
      <c r="AG178" s="8" t="s">
        <v>15</v>
      </c>
      <c r="AH178" s="8"/>
      <c r="AI178" s="8"/>
      <c r="AJ178" s="8"/>
      <c r="AK178" s="8" t="s">
        <v>16</v>
      </c>
      <c r="AL178" s="8"/>
      <c r="AM178" s="8"/>
      <c r="AN178" s="8"/>
      <c r="AO178" s="8" t="s">
        <v>17</v>
      </c>
      <c r="AP178" s="8"/>
      <c r="AQ178" s="8"/>
      <c r="AR178" s="10"/>
    </row>
    <row r="179" spans="2:52" ht="15.75" thickBot="1" x14ac:dyDescent="0.3">
      <c r="B179" s="4" t="s">
        <v>19</v>
      </c>
      <c r="C179" s="5"/>
      <c r="D179" s="6"/>
      <c r="E179" s="7">
        <v>42612</v>
      </c>
      <c r="F179" s="8"/>
      <c r="G179" s="8"/>
      <c r="H179" s="8"/>
      <c r="I179" s="9">
        <v>42628</v>
      </c>
      <c r="J179" s="8"/>
      <c r="K179" s="8"/>
      <c r="L179" s="8"/>
      <c r="M179" s="9">
        <v>42643</v>
      </c>
      <c r="N179" s="8"/>
      <c r="O179" s="8"/>
      <c r="P179" s="8"/>
      <c r="Q179" s="9">
        <v>42658</v>
      </c>
      <c r="R179" s="8"/>
      <c r="S179" s="8"/>
      <c r="T179" s="8"/>
      <c r="U179" s="9"/>
      <c r="V179" s="8"/>
      <c r="W179" s="8"/>
      <c r="X179" s="8"/>
      <c r="Y179" s="9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10"/>
    </row>
    <row r="180" spans="2:52" ht="15.75" thickBot="1" x14ac:dyDescent="0.3">
      <c r="E180" s="11">
        <v>60</v>
      </c>
      <c r="F180" s="12"/>
      <c r="G180" s="12"/>
      <c r="H180" s="12"/>
      <c r="I180" s="12">
        <v>63</v>
      </c>
      <c r="J180" s="12"/>
      <c r="K180" s="12"/>
      <c r="L180" s="12"/>
      <c r="M180" s="12">
        <v>63</v>
      </c>
      <c r="N180" s="12"/>
      <c r="O180" s="12"/>
      <c r="P180" s="12"/>
      <c r="Q180" s="12">
        <v>63</v>
      </c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3"/>
    </row>
    <row r="182" spans="2:52" ht="15.75" thickBot="1" x14ac:dyDescent="0.3"/>
    <row r="183" spans="2:52" ht="15.75" thickBot="1" x14ac:dyDescent="0.3">
      <c r="C183" s="1">
        <v>22</v>
      </c>
      <c r="D183" s="14" t="s">
        <v>3</v>
      </c>
      <c r="E183" s="14"/>
      <c r="F183" s="14"/>
      <c r="G183" s="15" t="s">
        <v>4</v>
      </c>
      <c r="H183" s="15"/>
      <c r="I183" s="15"/>
      <c r="J183" s="15"/>
      <c r="K183" s="15"/>
      <c r="L183" s="15"/>
      <c r="M183" s="15" t="s">
        <v>5</v>
      </c>
      <c r="N183" s="15"/>
      <c r="AJ183" s="16" t="s">
        <v>6</v>
      </c>
      <c r="AK183" s="17"/>
      <c r="AL183" s="17"/>
      <c r="AM183" s="17"/>
      <c r="AO183" s="16" t="s">
        <v>7</v>
      </c>
      <c r="AP183" s="17"/>
      <c r="AQ183" s="17"/>
      <c r="AR183" s="17"/>
      <c r="AU183" s="39" t="s">
        <v>20</v>
      </c>
      <c r="AV183" s="40"/>
      <c r="AW183" s="40"/>
      <c r="AX183" s="40"/>
      <c r="AY183" s="40"/>
      <c r="AZ183" s="41"/>
    </row>
    <row r="184" spans="2:52" ht="15.75" thickBot="1" x14ac:dyDescent="0.3">
      <c r="D184" s="22">
        <v>28597</v>
      </c>
      <c r="E184" s="23"/>
      <c r="F184" s="24"/>
      <c r="G184" s="25">
        <v>42667</v>
      </c>
      <c r="H184" s="26"/>
      <c r="I184" s="26"/>
      <c r="J184" s="26"/>
      <c r="K184" s="26"/>
      <c r="L184" s="27"/>
      <c r="M184" s="28">
        <v>4</v>
      </c>
      <c r="N184" s="28"/>
      <c r="AJ184" s="29">
        <v>330</v>
      </c>
      <c r="AK184" s="30"/>
      <c r="AL184" s="30"/>
      <c r="AM184" s="30"/>
      <c r="AO184" s="42">
        <f>AJ184-E188-I188-M188-Q188-U188-Y188-AC188-AG188-AK188-AO188</f>
        <v>-2</v>
      </c>
      <c r="AP184" s="43"/>
      <c r="AQ184" s="43"/>
      <c r="AR184" s="43"/>
      <c r="AU184" s="44" t="s">
        <v>21</v>
      </c>
      <c r="AV184" s="45"/>
      <c r="AW184" s="45"/>
      <c r="AX184" s="45" t="s">
        <v>22</v>
      </c>
      <c r="AY184" s="45"/>
      <c r="AZ184" s="46"/>
    </row>
    <row r="185" spans="2:52" ht="15.75" thickBot="1" x14ac:dyDescent="0.3">
      <c r="AU185" s="47">
        <v>21</v>
      </c>
      <c r="AV185" s="48"/>
      <c r="AW185" s="48"/>
      <c r="AX185" s="48">
        <v>24</v>
      </c>
      <c r="AY185" s="48"/>
      <c r="AZ185" s="49"/>
    </row>
    <row r="186" spans="2:52" ht="15.75" thickBot="1" x14ac:dyDescent="0.3">
      <c r="E186" s="18" t="s">
        <v>8</v>
      </c>
      <c r="F186" s="8"/>
      <c r="G186" s="8"/>
      <c r="H186" s="8"/>
      <c r="I186" s="8" t="s">
        <v>9</v>
      </c>
      <c r="J186" s="8"/>
      <c r="K186" s="8"/>
      <c r="L186" s="8"/>
      <c r="M186" s="8" t="s">
        <v>10</v>
      </c>
      <c r="N186" s="8"/>
      <c r="O186" s="8"/>
      <c r="P186" s="8"/>
      <c r="Q186" s="8" t="s">
        <v>11</v>
      </c>
      <c r="R186" s="8"/>
      <c r="S186" s="8"/>
      <c r="T186" s="8"/>
      <c r="U186" s="8" t="s">
        <v>12</v>
      </c>
      <c r="V186" s="8"/>
      <c r="W186" s="8"/>
      <c r="X186" s="8"/>
      <c r="Y186" s="8" t="s">
        <v>13</v>
      </c>
      <c r="Z186" s="8"/>
      <c r="AA186" s="8"/>
      <c r="AB186" s="8"/>
      <c r="AC186" s="8" t="s">
        <v>14</v>
      </c>
      <c r="AD186" s="8"/>
      <c r="AE186" s="8"/>
      <c r="AF186" s="8"/>
      <c r="AG186" s="8" t="s">
        <v>15</v>
      </c>
      <c r="AH186" s="8"/>
      <c r="AI186" s="8"/>
      <c r="AJ186" s="8"/>
      <c r="AK186" s="8" t="s">
        <v>16</v>
      </c>
      <c r="AL186" s="8"/>
      <c r="AM186" s="8"/>
      <c r="AN186" s="8"/>
      <c r="AO186" s="8" t="s">
        <v>17</v>
      </c>
      <c r="AP186" s="8"/>
      <c r="AQ186" s="8"/>
      <c r="AR186" s="10"/>
    </row>
    <row r="187" spans="2:52" ht="15.75" thickBot="1" x14ac:dyDescent="0.3">
      <c r="B187" s="4" t="s">
        <v>19</v>
      </c>
      <c r="C187" s="5"/>
      <c r="D187" s="6"/>
      <c r="E187" s="7">
        <v>42690</v>
      </c>
      <c r="F187" s="8"/>
      <c r="G187" s="8"/>
      <c r="H187" s="8"/>
      <c r="I187" s="9">
        <v>42704</v>
      </c>
      <c r="J187" s="8"/>
      <c r="K187" s="8"/>
      <c r="L187" s="8"/>
      <c r="M187" s="9">
        <v>42719</v>
      </c>
      <c r="N187" s="8"/>
      <c r="O187" s="8"/>
      <c r="P187" s="8"/>
      <c r="Q187" s="9">
        <v>42734</v>
      </c>
      <c r="R187" s="8"/>
      <c r="S187" s="8"/>
      <c r="T187" s="8"/>
      <c r="U187" s="9"/>
      <c r="V187" s="8"/>
      <c r="W187" s="8"/>
      <c r="X187" s="8"/>
      <c r="Y187" s="9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10"/>
    </row>
    <row r="188" spans="2:52" ht="15.75" thickBot="1" x14ac:dyDescent="0.3">
      <c r="E188" s="11">
        <v>83</v>
      </c>
      <c r="F188" s="12"/>
      <c r="G188" s="12"/>
      <c r="H188" s="12"/>
      <c r="I188" s="12">
        <v>83</v>
      </c>
      <c r="J188" s="12"/>
      <c r="K188" s="12"/>
      <c r="L188" s="12"/>
      <c r="M188" s="12">
        <v>83</v>
      </c>
      <c r="N188" s="12"/>
      <c r="O188" s="12"/>
      <c r="P188" s="12"/>
      <c r="Q188" s="12">
        <v>83</v>
      </c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3"/>
    </row>
    <row r="190" spans="2:52" ht="15.75" thickBot="1" x14ac:dyDescent="0.3"/>
    <row r="191" spans="2:52" ht="15.75" thickBot="1" x14ac:dyDescent="0.3">
      <c r="C191" s="1">
        <v>23</v>
      </c>
      <c r="D191" s="14" t="s">
        <v>3</v>
      </c>
      <c r="E191" s="14"/>
      <c r="F191" s="14"/>
      <c r="G191" s="15" t="s">
        <v>4</v>
      </c>
      <c r="H191" s="15"/>
      <c r="I191" s="15"/>
      <c r="J191" s="15"/>
      <c r="K191" s="15"/>
      <c r="L191" s="15"/>
      <c r="M191" s="15" t="s">
        <v>5</v>
      </c>
      <c r="N191" s="15"/>
      <c r="AJ191" s="16" t="s">
        <v>6</v>
      </c>
      <c r="AK191" s="17"/>
      <c r="AL191" s="17"/>
      <c r="AM191" s="17"/>
      <c r="AO191" s="16" t="s">
        <v>7</v>
      </c>
      <c r="AP191" s="17"/>
      <c r="AQ191" s="17"/>
      <c r="AR191" s="17"/>
      <c r="AU191" s="39" t="s">
        <v>20</v>
      </c>
      <c r="AV191" s="40"/>
      <c r="AW191" s="40"/>
      <c r="AX191" s="40"/>
      <c r="AY191" s="40"/>
      <c r="AZ191" s="41"/>
    </row>
    <row r="192" spans="2:52" ht="15.75" thickBot="1" x14ac:dyDescent="0.3">
      <c r="D192" s="22">
        <v>28960</v>
      </c>
      <c r="E192" s="23"/>
      <c r="F192" s="24"/>
      <c r="G192" s="25">
        <v>42689</v>
      </c>
      <c r="H192" s="26"/>
      <c r="I192" s="26"/>
      <c r="J192" s="26"/>
      <c r="K192" s="26"/>
      <c r="L192" s="27"/>
      <c r="M192" s="28">
        <v>4</v>
      </c>
      <c r="N192" s="28"/>
      <c r="AJ192" s="29">
        <v>399</v>
      </c>
      <c r="AK192" s="30"/>
      <c r="AL192" s="30"/>
      <c r="AM192" s="30"/>
      <c r="AO192" s="42">
        <f>AJ192-E196-I196-M196-Q196-U196-Y196-AC196-AG196-AK196-AO196</f>
        <v>-1</v>
      </c>
      <c r="AP192" s="43"/>
      <c r="AQ192" s="43"/>
      <c r="AR192" s="43"/>
      <c r="AU192" s="44" t="s">
        <v>21</v>
      </c>
      <c r="AV192" s="45"/>
      <c r="AW192" s="45"/>
      <c r="AX192" s="45" t="s">
        <v>22</v>
      </c>
      <c r="AY192" s="45"/>
      <c r="AZ192" s="46"/>
    </row>
    <row r="193" spans="2:52" ht="15.75" thickBot="1" x14ac:dyDescent="0.3">
      <c r="AU193" s="47">
        <v>22</v>
      </c>
      <c r="AV193" s="48"/>
      <c r="AW193" s="48"/>
      <c r="AX193" s="48">
        <v>1</v>
      </c>
      <c r="AY193" s="48"/>
      <c r="AZ193" s="49"/>
    </row>
    <row r="194" spans="2:52" ht="15.75" thickBot="1" x14ac:dyDescent="0.3">
      <c r="E194" s="18" t="s">
        <v>8</v>
      </c>
      <c r="F194" s="8"/>
      <c r="G194" s="8"/>
      <c r="H194" s="8"/>
      <c r="I194" s="8" t="s">
        <v>9</v>
      </c>
      <c r="J194" s="8"/>
      <c r="K194" s="8"/>
      <c r="L194" s="8"/>
      <c r="M194" s="8" t="s">
        <v>10</v>
      </c>
      <c r="N194" s="8"/>
      <c r="O194" s="8"/>
      <c r="P194" s="8"/>
      <c r="Q194" s="8" t="s">
        <v>11</v>
      </c>
      <c r="R194" s="8"/>
      <c r="S194" s="8"/>
      <c r="T194" s="8"/>
      <c r="U194" s="8" t="s">
        <v>12</v>
      </c>
      <c r="V194" s="8"/>
      <c r="W194" s="8"/>
      <c r="X194" s="8"/>
      <c r="Y194" s="8" t="s">
        <v>13</v>
      </c>
      <c r="Z194" s="8"/>
      <c r="AA194" s="8"/>
      <c r="AB194" s="8"/>
      <c r="AC194" s="8" t="s">
        <v>14</v>
      </c>
      <c r="AD194" s="8"/>
      <c r="AE194" s="8"/>
      <c r="AF194" s="8"/>
      <c r="AG194" s="8" t="s">
        <v>15</v>
      </c>
      <c r="AH194" s="8"/>
      <c r="AI194" s="8"/>
      <c r="AJ194" s="8"/>
      <c r="AK194" s="8" t="s">
        <v>16</v>
      </c>
      <c r="AL194" s="8"/>
      <c r="AM194" s="8"/>
      <c r="AN194" s="8"/>
      <c r="AO194" s="8" t="s">
        <v>17</v>
      </c>
      <c r="AP194" s="8"/>
      <c r="AQ194" s="8"/>
      <c r="AR194" s="10"/>
    </row>
    <row r="195" spans="2:52" ht="15.75" thickBot="1" x14ac:dyDescent="0.3">
      <c r="B195" s="4" t="s">
        <v>19</v>
      </c>
      <c r="C195" s="5"/>
      <c r="D195" s="6"/>
      <c r="E195" s="7">
        <v>42704</v>
      </c>
      <c r="F195" s="8"/>
      <c r="G195" s="8"/>
      <c r="H195" s="8"/>
      <c r="I195" s="9">
        <v>42719</v>
      </c>
      <c r="J195" s="8"/>
      <c r="K195" s="8"/>
      <c r="L195" s="8"/>
      <c r="M195" s="9">
        <v>42734</v>
      </c>
      <c r="N195" s="8"/>
      <c r="O195" s="8"/>
      <c r="P195" s="8"/>
      <c r="Q195" s="9">
        <v>42750</v>
      </c>
      <c r="R195" s="8"/>
      <c r="S195" s="8"/>
      <c r="T195" s="8"/>
      <c r="U195" s="9"/>
      <c r="V195" s="8"/>
      <c r="W195" s="8"/>
      <c r="X195" s="8"/>
      <c r="Y195" s="9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10"/>
    </row>
    <row r="196" spans="2:52" ht="15.75" thickBot="1" x14ac:dyDescent="0.3">
      <c r="E196" s="11">
        <v>100</v>
      </c>
      <c r="F196" s="12"/>
      <c r="G196" s="12"/>
      <c r="H196" s="12"/>
      <c r="I196" s="12">
        <v>100</v>
      </c>
      <c r="J196" s="12"/>
      <c r="K196" s="12"/>
      <c r="L196" s="12"/>
      <c r="M196" s="12">
        <v>100</v>
      </c>
      <c r="N196" s="12"/>
      <c r="O196" s="12"/>
      <c r="P196" s="12"/>
      <c r="Q196" s="12">
        <v>100</v>
      </c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3"/>
    </row>
    <row r="198" spans="2:52" ht="15.75" thickBot="1" x14ac:dyDescent="0.3"/>
    <row r="199" spans="2:52" ht="15.75" thickBot="1" x14ac:dyDescent="0.3">
      <c r="C199" s="1">
        <v>24</v>
      </c>
      <c r="D199" s="14" t="s">
        <v>3</v>
      </c>
      <c r="E199" s="14"/>
      <c r="F199" s="14"/>
      <c r="G199" s="15" t="s">
        <v>4</v>
      </c>
      <c r="H199" s="15"/>
      <c r="I199" s="15"/>
      <c r="J199" s="15"/>
      <c r="K199" s="15"/>
      <c r="L199" s="15"/>
      <c r="M199" s="15" t="s">
        <v>5</v>
      </c>
      <c r="N199" s="15"/>
      <c r="AJ199" s="16" t="s">
        <v>6</v>
      </c>
      <c r="AK199" s="17"/>
      <c r="AL199" s="17"/>
      <c r="AM199" s="17"/>
      <c r="AO199" s="16" t="s">
        <v>7</v>
      </c>
      <c r="AP199" s="17"/>
      <c r="AQ199" s="17"/>
      <c r="AR199" s="17"/>
      <c r="AU199" s="39" t="s">
        <v>20</v>
      </c>
      <c r="AV199" s="40"/>
      <c r="AW199" s="40"/>
      <c r="AX199" s="40"/>
      <c r="AY199" s="40"/>
      <c r="AZ199" s="41"/>
    </row>
    <row r="200" spans="2:52" ht="15.75" thickBot="1" x14ac:dyDescent="0.3">
      <c r="D200" s="22">
        <v>29527</v>
      </c>
      <c r="E200" s="23"/>
      <c r="F200" s="24"/>
      <c r="G200" s="25">
        <v>42720</v>
      </c>
      <c r="H200" s="26"/>
      <c r="I200" s="26"/>
      <c r="J200" s="26"/>
      <c r="K200" s="26"/>
      <c r="L200" s="27"/>
      <c r="M200" s="28">
        <v>5</v>
      </c>
      <c r="N200" s="28"/>
      <c r="AJ200" s="29">
        <v>980</v>
      </c>
      <c r="AK200" s="30"/>
      <c r="AL200" s="30"/>
      <c r="AM200" s="30"/>
      <c r="AO200" s="42">
        <f>AJ200-E204-I204-M204-Q204-U204-Y204-AC204-AG204-AK204-AO204</f>
        <v>0</v>
      </c>
      <c r="AP200" s="43"/>
      <c r="AQ200" s="43"/>
      <c r="AR200" s="43"/>
      <c r="AU200" s="44" t="s">
        <v>21</v>
      </c>
      <c r="AV200" s="45"/>
      <c r="AW200" s="45"/>
      <c r="AX200" s="45" t="s">
        <v>22</v>
      </c>
      <c r="AY200" s="45"/>
      <c r="AZ200" s="46"/>
    </row>
    <row r="201" spans="2:52" ht="15.75" thickBot="1" x14ac:dyDescent="0.3">
      <c r="AU201" s="47">
        <v>24</v>
      </c>
      <c r="AV201" s="48"/>
      <c r="AW201" s="48"/>
      <c r="AX201" s="48">
        <v>4</v>
      </c>
      <c r="AY201" s="48"/>
      <c r="AZ201" s="49"/>
    </row>
    <row r="202" spans="2:52" ht="15.75" thickBot="1" x14ac:dyDescent="0.3">
      <c r="E202" s="18" t="s">
        <v>8</v>
      </c>
      <c r="F202" s="8"/>
      <c r="G202" s="8"/>
      <c r="H202" s="8"/>
      <c r="I202" s="8" t="s">
        <v>9</v>
      </c>
      <c r="J202" s="8"/>
      <c r="K202" s="8"/>
      <c r="L202" s="8"/>
      <c r="M202" s="8" t="s">
        <v>10</v>
      </c>
      <c r="N202" s="8"/>
      <c r="O202" s="8"/>
      <c r="P202" s="8"/>
      <c r="Q202" s="8" t="s">
        <v>11</v>
      </c>
      <c r="R202" s="8"/>
      <c r="S202" s="8"/>
      <c r="T202" s="8"/>
      <c r="U202" s="8" t="s">
        <v>12</v>
      </c>
      <c r="V202" s="8"/>
      <c r="W202" s="8"/>
      <c r="X202" s="8"/>
      <c r="Y202" s="8" t="s">
        <v>13</v>
      </c>
      <c r="Z202" s="8"/>
      <c r="AA202" s="8"/>
      <c r="AB202" s="8"/>
      <c r="AC202" s="8" t="s">
        <v>14</v>
      </c>
      <c r="AD202" s="8"/>
      <c r="AE202" s="8"/>
      <c r="AF202" s="8"/>
      <c r="AG202" s="8" t="s">
        <v>15</v>
      </c>
      <c r="AH202" s="8"/>
      <c r="AI202" s="8"/>
      <c r="AJ202" s="8"/>
      <c r="AK202" s="8" t="s">
        <v>16</v>
      </c>
      <c r="AL202" s="8"/>
      <c r="AM202" s="8"/>
      <c r="AN202" s="8"/>
      <c r="AO202" s="8" t="s">
        <v>17</v>
      </c>
      <c r="AP202" s="8"/>
      <c r="AQ202" s="8"/>
      <c r="AR202" s="10"/>
    </row>
    <row r="203" spans="2:52" ht="15.75" thickBot="1" x14ac:dyDescent="0.3">
      <c r="B203" s="4" t="s">
        <v>19</v>
      </c>
      <c r="C203" s="5"/>
      <c r="D203" s="6"/>
      <c r="E203" s="7">
        <v>42734</v>
      </c>
      <c r="F203" s="8"/>
      <c r="G203" s="8"/>
      <c r="H203" s="8"/>
      <c r="I203" s="9">
        <v>42750</v>
      </c>
      <c r="J203" s="8"/>
      <c r="K203" s="8"/>
      <c r="L203" s="8"/>
      <c r="M203" s="9">
        <v>42765</v>
      </c>
      <c r="N203" s="8"/>
      <c r="O203" s="8"/>
      <c r="P203" s="8"/>
      <c r="Q203" s="9">
        <v>42781</v>
      </c>
      <c r="R203" s="8"/>
      <c r="S203" s="8"/>
      <c r="T203" s="8"/>
      <c r="U203" s="9">
        <v>42794</v>
      </c>
      <c r="V203" s="8"/>
      <c r="W203" s="8"/>
      <c r="X203" s="8"/>
      <c r="Y203" s="9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10"/>
    </row>
    <row r="204" spans="2:52" ht="15.75" thickBot="1" x14ac:dyDescent="0.3">
      <c r="E204" s="11">
        <v>196</v>
      </c>
      <c r="F204" s="12"/>
      <c r="G204" s="12"/>
      <c r="H204" s="12"/>
      <c r="I204" s="12">
        <v>196</v>
      </c>
      <c r="J204" s="12"/>
      <c r="K204" s="12"/>
      <c r="L204" s="12"/>
      <c r="M204" s="12">
        <v>196</v>
      </c>
      <c r="N204" s="12"/>
      <c r="O204" s="12"/>
      <c r="P204" s="12"/>
      <c r="Q204" s="12">
        <v>196</v>
      </c>
      <c r="R204" s="12"/>
      <c r="S204" s="12"/>
      <c r="T204" s="12"/>
      <c r="U204" s="12">
        <v>196</v>
      </c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3"/>
    </row>
    <row r="206" spans="2:52" ht="15.75" thickBot="1" x14ac:dyDescent="0.3"/>
    <row r="207" spans="2:52" ht="15.75" thickBot="1" x14ac:dyDescent="0.3">
      <c r="C207" s="1">
        <v>25</v>
      </c>
      <c r="D207" s="14" t="s">
        <v>3</v>
      </c>
      <c r="E207" s="14"/>
      <c r="F207" s="14"/>
      <c r="G207" s="15" t="s">
        <v>4</v>
      </c>
      <c r="H207" s="15"/>
      <c r="I207" s="15"/>
      <c r="J207" s="15"/>
      <c r="K207" s="15"/>
      <c r="L207" s="15"/>
      <c r="M207" s="15" t="s">
        <v>5</v>
      </c>
      <c r="N207" s="15"/>
      <c r="AJ207" s="16" t="s">
        <v>6</v>
      </c>
      <c r="AK207" s="17"/>
      <c r="AL207" s="17"/>
      <c r="AM207" s="17"/>
      <c r="AO207" s="16" t="s">
        <v>7</v>
      </c>
      <c r="AP207" s="17"/>
      <c r="AQ207" s="17"/>
      <c r="AR207" s="17"/>
      <c r="AU207" s="39" t="s">
        <v>20</v>
      </c>
      <c r="AV207" s="40"/>
      <c r="AW207" s="40"/>
      <c r="AX207" s="40"/>
      <c r="AY207" s="40"/>
      <c r="AZ207" s="41"/>
    </row>
    <row r="208" spans="2:52" ht="15.75" thickBot="1" x14ac:dyDescent="0.3">
      <c r="D208" s="22">
        <v>30094</v>
      </c>
      <c r="E208" s="23"/>
      <c r="F208" s="24"/>
      <c r="G208" s="25">
        <v>42751</v>
      </c>
      <c r="H208" s="26"/>
      <c r="I208" s="26"/>
      <c r="J208" s="26"/>
      <c r="K208" s="26"/>
      <c r="L208" s="27"/>
      <c r="M208" s="28">
        <v>4</v>
      </c>
      <c r="N208" s="28"/>
      <c r="X208" s="1"/>
      <c r="AJ208" s="29">
        <v>699</v>
      </c>
      <c r="AK208" s="30"/>
      <c r="AL208" s="30"/>
      <c r="AM208" s="30"/>
      <c r="AO208" s="42">
        <f>AJ208-E212-I212-M212-Q212-U212-Y212-AC212-AG212-AK212-AO212</f>
        <v>-1</v>
      </c>
      <c r="AP208" s="43"/>
      <c r="AQ208" s="43"/>
      <c r="AR208" s="43"/>
      <c r="AU208" s="44" t="s">
        <v>21</v>
      </c>
      <c r="AV208" s="45"/>
      <c r="AW208" s="45"/>
      <c r="AX208" s="45" t="s">
        <v>22</v>
      </c>
      <c r="AY208" s="45"/>
      <c r="AZ208" s="46"/>
    </row>
    <row r="209" spans="2:52" ht="15.75" thickBot="1" x14ac:dyDescent="0.3">
      <c r="AU209" s="47">
        <v>2</v>
      </c>
      <c r="AV209" s="48"/>
      <c r="AW209" s="48"/>
      <c r="AX209" s="48">
        <v>5</v>
      </c>
      <c r="AY209" s="48"/>
      <c r="AZ209" s="49"/>
    </row>
    <row r="210" spans="2:52" ht="15.75" thickBot="1" x14ac:dyDescent="0.3">
      <c r="E210" s="18" t="s">
        <v>8</v>
      </c>
      <c r="F210" s="8"/>
      <c r="G210" s="8"/>
      <c r="H210" s="8"/>
      <c r="I210" s="8" t="s">
        <v>9</v>
      </c>
      <c r="J210" s="8"/>
      <c r="K210" s="8"/>
      <c r="L210" s="8"/>
      <c r="M210" s="8" t="s">
        <v>10</v>
      </c>
      <c r="N210" s="8"/>
      <c r="O210" s="8"/>
      <c r="P210" s="8"/>
      <c r="Q210" s="8" t="s">
        <v>11</v>
      </c>
      <c r="R210" s="8"/>
      <c r="S210" s="8"/>
      <c r="T210" s="8"/>
      <c r="U210" s="8" t="s">
        <v>12</v>
      </c>
      <c r="V210" s="8"/>
      <c r="W210" s="8"/>
      <c r="X210" s="8"/>
      <c r="Y210" s="8" t="s">
        <v>13</v>
      </c>
      <c r="Z210" s="8"/>
      <c r="AA210" s="8"/>
      <c r="AB210" s="8"/>
      <c r="AC210" s="8" t="s">
        <v>14</v>
      </c>
      <c r="AD210" s="8"/>
      <c r="AE210" s="8"/>
      <c r="AF210" s="8"/>
      <c r="AG210" s="8" t="s">
        <v>15</v>
      </c>
      <c r="AH210" s="8"/>
      <c r="AI210" s="8"/>
      <c r="AJ210" s="8"/>
      <c r="AK210" s="8" t="s">
        <v>16</v>
      </c>
      <c r="AL210" s="8"/>
      <c r="AM210" s="8"/>
      <c r="AN210" s="8"/>
      <c r="AO210" s="8" t="s">
        <v>17</v>
      </c>
      <c r="AP210" s="8"/>
      <c r="AQ210" s="8"/>
      <c r="AR210" s="10"/>
    </row>
    <row r="211" spans="2:52" ht="15.75" thickBot="1" x14ac:dyDescent="0.3">
      <c r="B211" s="4" t="s">
        <v>19</v>
      </c>
      <c r="C211" s="5"/>
      <c r="D211" s="6"/>
      <c r="E211" s="7">
        <v>42765</v>
      </c>
      <c r="F211" s="8"/>
      <c r="G211" s="8"/>
      <c r="H211" s="8"/>
      <c r="I211" s="9">
        <v>42781</v>
      </c>
      <c r="J211" s="8"/>
      <c r="K211" s="8"/>
      <c r="L211" s="8"/>
      <c r="M211" s="9">
        <v>42794</v>
      </c>
      <c r="N211" s="8"/>
      <c r="O211" s="8"/>
      <c r="P211" s="8"/>
      <c r="Q211" s="9">
        <v>42809</v>
      </c>
      <c r="R211" s="8"/>
      <c r="S211" s="8"/>
      <c r="T211" s="8"/>
      <c r="U211" s="9"/>
      <c r="V211" s="8"/>
      <c r="W211" s="8"/>
      <c r="X211" s="8"/>
      <c r="Y211" s="9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10"/>
    </row>
    <row r="212" spans="2:52" ht="15.75" thickBot="1" x14ac:dyDescent="0.3">
      <c r="E212" s="11">
        <v>175</v>
      </c>
      <c r="F212" s="12"/>
      <c r="G212" s="12"/>
      <c r="H212" s="12"/>
      <c r="I212" s="12">
        <v>175</v>
      </c>
      <c r="J212" s="12"/>
      <c r="K212" s="12"/>
      <c r="L212" s="12"/>
      <c r="M212" s="12">
        <v>175</v>
      </c>
      <c r="N212" s="12"/>
      <c r="O212" s="12"/>
      <c r="P212" s="12"/>
      <c r="Q212" s="12">
        <v>175</v>
      </c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3"/>
    </row>
    <row r="214" spans="2:52" ht="15.75" thickBot="1" x14ac:dyDescent="0.3"/>
    <row r="215" spans="2:52" ht="15.75" thickBot="1" x14ac:dyDescent="0.3">
      <c r="C215" s="1">
        <v>26</v>
      </c>
      <c r="D215" s="14" t="s">
        <v>3</v>
      </c>
      <c r="E215" s="14"/>
      <c r="F215" s="14"/>
      <c r="G215" s="15" t="s">
        <v>4</v>
      </c>
      <c r="H215" s="15"/>
      <c r="I215" s="15"/>
      <c r="J215" s="15"/>
      <c r="K215" s="15"/>
      <c r="L215" s="15"/>
      <c r="M215" s="15" t="s">
        <v>5</v>
      </c>
      <c r="N215" s="15"/>
      <c r="AJ215" s="16" t="s">
        <v>6</v>
      </c>
      <c r="AK215" s="17"/>
      <c r="AL215" s="17"/>
      <c r="AM215" s="17"/>
      <c r="AO215" s="16" t="s">
        <v>7</v>
      </c>
      <c r="AP215" s="17"/>
      <c r="AQ215" s="17"/>
      <c r="AR215" s="17"/>
      <c r="AU215" s="39" t="s">
        <v>20</v>
      </c>
      <c r="AV215" s="40"/>
      <c r="AW215" s="40"/>
      <c r="AX215" s="40"/>
      <c r="AY215" s="40"/>
      <c r="AZ215" s="41"/>
    </row>
    <row r="216" spans="2:52" ht="15.75" thickBot="1" x14ac:dyDescent="0.3">
      <c r="D216" s="22">
        <v>30733</v>
      </c>
      <c r="E216" s="23"/>
      <c r="F216" s="24"/>
      <c r="G216" s="25">
        <v>42804</v>
      </c>
      <c r="H216" s="26"/>
      <c r="I216" s="26"/>
      <c r="J216" s="26"/>
      <c r="K216" s="26"/>
      <c r="L216" s="27"/>
      <c r="M216" s="28">
        <v>4</v>
      </c>
      <c r="N216" s="28"/>
      <c r="AJ216" s="29">
        <v>380</v>
      </c>
      <c r="AK216" s="30"/>
      <c r="AL216" s="30"/>
      <c r="AM216" s="30"/>
      <c r="AO216" s="42">
        <f>AJ216-E220-I220-M220-Q220-U220-Y220-AC220-AG220-AK220-AO220</f>
        <v>0</v>
      </c>
      <c r="AP216" s="43"/>
      <c r="AQ216" s="43"/>
      <c r="AR216" s="43"/>
      <c r="AU216" s="44" t="s">
        <v>21</v>
      </c>
      <c r="AV216" s="45"/>
      <c r="AW216" s="45"/>
      <c r="AX216" s="45" t="s">
        <v>22</v>
      </c>
      <c r="AY216" s="45"/>
      <c r="AZ216" s="46"/>
    </row>
    <row r="217" spans="2:52" ht="15.75" thickBot="1" x14ac:dyDescent="0.3">
      <c r="AU217" s="47">
        <v>6</v>
      </c>
      <c r="AV217" s="48"/>
      <c r="AW217" s="48"/>
      <c r="AX217" s="48">
        <v>9</v>
      </c>
      <c r="AY217" s="48"/>
      <c r="AZ217" s="49"/>
    </row>
    <row r="218" spans="2:52" ht="15.75" thickBot="1" x14ac:dyDescent="0.3">
      <c r="E218" s="18" t="s">
        <v>8</v>
      </c>
      <c r="F218" s="8"/>
      <c r="G218" s="8"/>
      <c r="H218" s="8"/>
      <c r="I218" s="8" t="s">
        <v>9</v>
      </c>
      <c r="J218" s="8"/>
      <c r="K218" s="8"/>
      <c r="L218" s="8"/>
      <c r="M218" s="8" t="s">
        <v>10</v>
      </c>
      <c r="N218" s="8"/>
      <c r="O218" s="8"/>
      <c r="P218" s="8"/>
      <c r="Q218" s="8" t="s">
        <v>11</v>
      </c>
      <c r="R218" s="8"/>
      <c r="S218" s="8"/>
      <c r="T218" s="8"/>
      <c r="U218" s="8" t="s">
        <v>12</v>
      </c>
      <c r="V218" s="8"/>
      <c r="W218" s="8"/>
      <c r="X218" s="8"/>
      <c r="Y218" s="8" t="s">
        <v>13</v>
      </c>
      <c r="Z218" s="8"/>
      <c r="AA218" s="8"/>
      <c r="AB218" s="8"/>
      <c r="AC218" s="8" t="s">
        <v>14</v>
      </c>
      <c r="AD218" s="8"/>
      <c r="AE218" s="8"/>
      <c r="AF218" s="8"/>
      <c r="AG218" s="8" t="s">
        <v>15</v>
      </c>
      <c r="AH218" s="8"/>
      <c r="AI218" s="8"/>
      <c r="AJ218" s="8"/>
      <c r="AK218" s="8" t="s">
        <v>16</v>
      </c>
      <c r="AL218" s="8"/>
      <c r="AM218" s="8"/>
      <c r="AN218" s="8"/>
      <c r="AO218" s="8" t="s">
        <v>17</v>
      </c>
      <c r="AP218" s="8"/>
      <c r="AQ218" s="8"/>
      <c r="AR218" s="10"/>
    </row>
    <row r="219" spans="2:52" ht="15.75" thickBot="1" x14ac:dyDescent="0.3">
      <c r="B219" s="4" t="s">
        <v>19</v>
      </c>
      <c r="C219" s="5"/>
      <c r="D219" s="6"/>
      <c r="E219" s="7">
        <v>42824</v>
      </c>
      <c r="F219" s="8"/>
      <c r="G219" s="8"/>
      <c r="H219" s="8"/>
      <c r="I219" s="9">
        <v>42840</v>
      </c>
      <c r="J219" s="8"/>
      <c r="K219" s="8"/>
      <c r="L219" s="8"/>
      <c r="M219" s="9">
        <v>42855</v>
      </c>
      <c r="N219" s="8"/>
      <c r="O219" s="8"/>
      <c r="P219" s="8"/>
      <c r="Q219" s="9">
        <v>42870</v>
      </c>
      <c r="R219" s="8"/>
      <c r="S219" s="8"/>
      <c r="T219" s="8"/>
      <c r="U219" s="9"/>
      <c r="V219" s="8"/>
      <c r="W219" s="8"/>
      <c r="X219" s="8"/>
      <c r="Y219" s="9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10"/>
    </row>
    <row r="220" spans="2:52" ht="15.75" thickBot="1" x14ac:dyDescent="0.3">
      <c r="E220" s="11">
        <v>95</v>
      </c>
      <c r="F220" s="12"/>
      <c r="G220" s="12"/>
      <c r="H220" s="12"/>
      <c r="I220" s="12">
        <v>95</v>
      </c>
      <c r="J220" s="12"/>
      <c r="K220" s="12"/>
      <c r="L220" s="12"/>
      <c r="M220" s="12">
        <v>95</v>
      </c>
      <c r="N220" s="12"/>
      <c r="O220" s="12"/>
      <c r="P220" s="12"/>
      <c r="Q220" s="12">
        <v>95</v>
      </c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3"/>
    </row>
    <row r="222" spans="2:52" ht="15.75" thickBot="1" x14ac:dyDescent="0.3"/>
    <row r="223" spans="2:52" ht="15.75" thickBot="1" x14ac:dyDescent="0.3">
      <c r="C223" s="1">
        <v>27</v>
      </c>
      <c r="D223" s="14" t="s">
        <v>3</v>
      </c>
      <c r="E223" s="14"/>
      <c r="F223" s="14"/>
      <c r="G223" s="15" t="s">
        <v>4</v>
      </c>
      <c r="H223" s="15"/>
      <c r="I223" s="15"/>
      <c r="J223" s="15"/>
      <c r="K223" s="15"/>
      <c r="L223" s="15"/>
      <c r="M223" s="15" t="s">
        <v>5</v>
      </c>
      <c r="N223" s="15"/>
      <c r="AJ223" s="16" t="s">
        <v>6</v>
      </c>
      <c r="AK223" s="17"/>
      <c r="AL223" s="17"/>
      <c r="AM223" s="17"/>
      <c r="AO223" s="16" t="s">
        <v>7</v>
      </c>
      <c r="AP223" s="17"/>
      <c r="AQ223" s="17"/>
      <c r="AR223" s="17"/>
      <c r="AU223" s="39" t="s">
        <v>20</v>
      </c>
      <c r="AV223" s="40"/>
      <c r="AW223" s="40"/>
      <c r="AX223" s="40"/>
      <c r="AY223" s="40"/>
      <c r="AZ223" s="41"/>
    </row>
    <row r="224" spans="2:52" ht="15.75" thickBot="1" x14ac:dyDescent="0.3">
      <c r="D224" s="22">
        <v>30769</v>
      </c>
      <c r="E224" s="23"/>
      <c r="F224" s="24"/>
      <c r="G224" s="25">
        <v>42808</v>
      </c>
      <c r="H224" s="26"/>
      <c r="I224" s="26"/>
      <c r="J224" s="26"/>
      <c r="K224" s="26"/>
      <c r="L224" s="27"/>
      <c r="M224" s="28">
        <v>4</v>
      </c>
      <c r="N224" s="28"/>
      <c r="AJ224" s="29">
        <v>280</v>
      </c>
      <c r="AK224" s="30"/>
      <c r="AL224" s="30"/>
      <c r="AM224" s="30"/>
      <c r="AO224" s="42">
        <f>AJ224-E228-I228-M228-Q228-U228-Y228-AC228-AG228-AK228-AO228</f>
        <v>0</v>
      </c>
      <c r="AP224" s="43"/>
      <c r="AQ224" s="43"/>
      <c r="AR224" s="43"/>
      <c r="AU224" s="44" t="s">
        <v>21</v>
      </c>
      <c r="AV224" s="45"/>
      <c r="AW224" s="45"/>
      <c r="AX224" s="45" t="s">
        <v>22</v>
      </c>
      <c r="AY224" s="45"/>
      <c r="AZ224" s="46"/>
    </row>
    <row r="225" spans="2:52" ht="15.75" thickBot="1" x14ac:dyDescent="0.3">
      <c r="AU225" s="47">
        <v>6</v>
      </c>
      <c r="AV225" s="48"/>
      <c r="AW225" s="48"/>
      <c r="AX225" s="48">
        <v>9</v>
      </c>
      <c r="AY225" s="48"/>
      <c r="AZ225" s="49"/>
    </row>
    <row r="226" spans="2:52" ht="15.75" thickBot="1" x14ac:dyDescent="0.3">
      <c r="E226" s="18" t="s">
        <v>8</v>
      </c>
      <c r="F226" s="8"/>
      <c r="G226" s="8"/>
      <c r="H226" s="8"/>
      <c r="I226" s="8" t="s">
        <v>9</v>
      </c>
      <c r="J226" s="8"/>
      <c r="K226" s="8"/>
      <c r="L226" s="8"/>
      <c r="M226" s="8" t="s">
        <v>10</v>
      </c>
      <c r="N226" s="8"/>
      <c r="O226" s="8"/>
      <c r="P226" s="8"/>
      <c r="Q226" s="8" t="s">
        <v>11</v>
      </c>
      <c r="R226" s="8"/>
      <c r="S226" s="8"/>
      <c r="T226" s="8"/>
      <c r="U226" s="8" t="s">
        <v>12</v>
      </c>
      <c r="V226" s="8"/>
      <c r="W226" s="8"/>
      <c r="X226" s="8"/>
      <c r="Y226" s="8" t="s">
        <v>13</v>
      </c>
      <c r="Z226" s="8"/>
      <c r="AA226" s="8"/>
      <c r="AB226" s="8"/>
      <c r="AC226" s="8" t="s">
        <v>14</v>
      </c>
      <c r="AD226" s="8"/>
      <c r="AE226" s="8"/>
      <c r="AF226" s="8"/>
      <c r="AG226" s="8" t="s">
        <v>15</v>
      </c>
      <c r="AH226" s="8"/>
      <c r="AI226" s="8"/>
      <c r="AJ226" s="8"/>
      <c r="AK226" s="8" t="s">
        <v>16</v>
      </c>
      <c r="AL226" s="8"/>
      <c r="AM226" s="8"/>
      <c r="AN226" s="8"/>
      <c r="AO226" s="8" t="s">
        <v>17</v>
      </c>
      <c r="AP226" s="8"/>
      <c r="AQ226" s="8"/>
      <c r="AR226" s="10"/>
    </row>
    <row r="227" spans="2:52" ht="15.75" thickBot="1" x14ac:dyDescent="0.3">
      <c r="B227" s="4" t="s">
        <v>19</v>
      </c>
      <c r="C227" s="5"/>
      <c r="D227" s="6"/>
      <c r="E227" s="7">
        <v>42824</v>
      </c>
      <c r="F227" s="8"/>
      <c r="G227" s="8"/>
      <c r="H227" s="8"/>
      <c r="I227" s="9">
        <v>42840</v>
      </c>
      <c r="J227" s="8"/>
      <c r="K227" s="8"/>
      <c r="L227" s="8"/>
      <c r="M227" s="9">
        <v>42855</v>
      </c>
      <c r="N227" s="8"/>
      <c r="O227" s="8"/>
      <c r="P227" s="8"/>
      <c r="Q227" s="9">
        <v>42870</v>
      </c>
      <c r="R227" s="8"/>
      <c r="S227" s="8"/>
      <c r="T227" s="8"/>
      <c r="U227" s="9"/>
      <c r="V227" s="8"/>
      <c r="W227" s="8"/>
      <c r="X227" s="8"/>
      <c r="Y227" s="9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10"/>
    </row>
    <row r="228" spans="2:52" ht="15.75" thickBot="1" x14ac:dyDescent="0.3">
      <c r="E228" s="11">
        <v>70</v>
      </c>
      <c r="F228" s="12"/>
      <c r="G228" s="12"/>
      <c r="H228" s="12"/>
      <c r="I228" s="12">
        <v>70</v>
      </c>
      <c r="J228" s="12"/>
      <c r="K228" s="12"/>
      <c r="L228" s="12"/>
      <c r="M228" s="12">
        <v>70</v>
      </c>
      <c r="N228" s="12"/>
      <c r="O228" s="12"/>
      <c r="P228" s="12"/>
      <c r="Q228" s="12">
        <v>70</v>
      </c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3"/>
    </row>
    <row r="230" spans="2:52" ht="15.75" thickBot="1" x14ac:dyDescent="0.3"/>
    <row r="231" spans="2:52" ht="15.75" thickBot="1" x14ac:dyDescent="0.3">
      <c r="C231" s="1">
        <v>28</v>
      </c>
      <c r="D231" s="14" t="s">
        <v>3</v>
      </c>
      <c r="E231" s="14"/>
      <c r="F231" s="14"/>
      <c r="G231" s="15" t="s">
        <v>4</v>
      </c>
      <c r="H231" s="15"/>
      <c r="I231" s="15"/>
      <c r="J231" s="15"/>
      <c r="K231" s="15"/>
      <c r="L231" s="15"/>
      <c r="M231" s="15" t="s">
        <v>5</v>
      </c>
      <c r="N231" s="15"/>
      <c r="AJ231" s="16" t="s">
        <v>6</v>
      </c>
      <c r="AK231" s="17"/>
      <c r="AL231" s="17"/>
      <c r="AM231" s="17"/>
      <c r="AO231" s="16" t="s">
        <v>7</v>
      </c>
      <c r="AP231" s="17"/>
      <c r="AQ231" s="17"/>
      <c r="AR231" s="17"/>
      <c r="AU231" s="39" t="s">
        <v>20</v>
      </c>
      <c r="AV231" s="40"/>
      <c r="AW231" s="40"/>
      <c r="AX231" s="40"/>
      <c r="AY231" s="40"/>
      <c r="AZ231" s="41"/>
    </row>
    <row r="232" spans="2:52" ht="15.75" thickBot="1" x14ac:dyDescent="0.3">
      <c r="D232" s="22">
        <v>31559</v>
      </c>
      <c r="E232" s="23"/>
      <c r="F232" s="24"/>
      <c r="G232" s="25">
        <v>42863</v>
      </c>
      <c r="H232" s="26"/>
      <c r="I232" s="26"/>
      <c r="J232" s="26"/>
      <c r="K232" s="26"/>
      <c r="L232" s="27"/>
      <c r="M232" s="28">
        <v>4</v>
      </c>
      <c r="N232" s="28"/>
      <c r="AJ232" s="29">
        <v>399</v>
      </c>
      <c r="AK232" s="30"/>
      <c r="AL232" s="30"/>
      <c r="AM232" s="30"/>
      <c r="AO232" s="42">
        <f>AJ232-E236-I236-M236-Q236-U236-Y236-AC236-AG236-AK236-AO236</f>
        <v>-1</v>
      </c>
      <c r="AP232" s="43"/>
      <c r="AQ232" s="43"/>
      <c r="AR232" s="43"/>
      <c r="AU232" s="44" t="s">
        <v>21</v>
      </c>
      <c r="AV232" s="45"/>
      <c r="AW232" s="45"/>
      <c r="AX232" s="45" t="s">
        <v>22</v>
      </c>
      <c r="AY232" s="45"/>
      <c r="AZ232" s="46"/>
    </row>
    <row r="233" spans="2:52" ht="15.75" thickBot="1" x14ac:dyDescent="0.3">
      <c r="AU233" s="47">
        <v>9</v>
      </c>
      <c r="AV233" s="48"/>
      <c r="AW233" s="48"/>
      <c r="AX233" s="48">
        <v>12</v>
      </c>
      <c r="AY233" s="48"/>
      <c r="AZ233" s="49"/>
    </row>
    <row r="234" spans="2:52" ht="15.75" thickBot="1" x14ac:dyDescent="0.3">
      <c r="E234" s="18" t="s">
        <v>8</v>
      </c>
      <c r="F234" s="8"/>
      <c r="G234" s="8"/>
      <c r="H234" s="8"/>
      <c r="I234" s="8" t="s">
        <v>9</v>
      </c>
      <c r="J234" s="8"/>
      <c r="K234" s="8"/>
      <c r="L234" s="8"/>
      <c r="M234" s="8" t="s">
        <v>10</v>
      </c>
      <c r="N234" s="8"/>
      <c r="O234" s="8"/>
      <c r="P234" s="8"/>
      <c r="Q234" s="8" t="s">
        <v>11</v>
      </c>
      <c r="R234" s="8"/>
      <c r="S234" s="8"/>
      <c r="T234" s="8"/>
      <c r="U234" s="8" t="s">
        <v>12</v>
      </c>
      <c r="V234" s="8"/>
      <c r="W234" s="8"/>
      <c r="X234" s="8"/>
      <c r="Y234" s="8" t="s">
        <v>13</v>
      </c>
      <c r="Z234" s="8"/>
      <c r="AA234" s="8"/>
      <c r="AB234" s="8"/>
      <c r="AC234" s="8" t="s">
        <v>14</v>
      </c>
      <c r="AD234" s="8"/>
      <c r="AE234" s="8"/>
      <c r="AF234" s="8"/>
      <c r="AG234" s="8" t="s">
        <v>15</v>
      </c>
      <c r="AH234" s="8"/>
      <c r="AI234" s="8"/>
      <c r="AJ234" s="8"/>
      <c r="AK234" s="8" t="s">
        <v>16</v>
      </c>
      <c r="AL234" s="8"/>
      <c r="AM234" s="8"/>
      <c r="AN234" s="8"/>
      <c r="AO234" s="8" t="s">
        <v>17</v>
      </c>
      <c r="AP234" s="8"/>
      <c r="AQ234" s="8"/>
      <c r="AR234" s="10"/>
    </row>
    <row r="235" spans="2:52" ht="15.75" thickBot="1" x14ac:dyDescent="0.3">
      <c r="B235" s="4" t="s">
        <v>19</v>
      </c>
      <c r="C235" s="5"/>
      <c r="D235" s="6"/>
      <c r="E235" s="7">
        <v>42870</v>
      </c>
      <c r="F235" s="8"/>
      <c r="G235" s="8"/>
      <c r="H235" s="8"/>
      <c r="I235" s="9">
        <v>42885</v>
      </c>
      <c r="J235" s="8"/>
      <c r="K235" s="8"/>
      <c r="L235" s="8"/>
      <c r="M235" s="9">
        <v>42901</v>
      </c>
      <c r="N235" s="8"/>
      <c r="O235" s="8"/>
      <c r="P235" s="8"/>
      <c r="Q235" s="9">
        <v>42916</v>
      </c>
      <c r="R235" s="8"/>
      <c r="S235" s="8"/>
      <c r="T235" s="8"/>
      <c r="U235" s="9"/>
      <c r="V235" s="8"/>
      <c r="W235" s="8"/>
      <c r="X235" s="8"/>
      <c r="Y235" s="9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10"/>
    </row>
    <row r="236" spans="2:52" ht="15.75" thickBot="1" x14ac:dyDescent="0.3">
      <c r="E236" s="11">
        <v>100</v>
      </c>
      <c r="F236" s="12"/>
      <c r="G236" s="12"/>
      <c r="H236" s="12"/>
      <c r="I236" s="12">
        <v>100</v>
      </c>
      <c r="J236" s="12"/>
      <c r="K236" s="12"/>
      <c r="L236" s="12"/>
      <c r="M236" s="12">
        <v>100</v>
      </c>
      <c r="N236" s="12"/>
      <c r="O236" s="12"/>
      <c r="P236" s="12"/>
      <c r="Q236" s="12">
        <v>100</v>
      </c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3"/>
    </row>
    <row r="238" spans="2:52" ht="15.75" thickBot="1" x14ac:dyDescent="0.3"/>
    <row r="239" spans="2:52" ht="15.75" thickBot="1" x14ac:dyDescent="0.3">
      <c r="C239" s="1">
        <v>29</v>
      </c>
      <c r="D239" s="14" t="s">
        <v>3</v>
      </c>
      <c r="E239" s="14"/>
      <c r="F239" s="14"/>
      <c r="G239" s="15" t="s">
        <v>4</v>
      </c>
      <c r="H239" s="15"/>
      <c r="I239" s="15"/>
      <c r="J239" s="15"/>
      <c r="K239" s="15"/>
      <c r="L239" s="15"/>
      <c r="M239" s="15" t="s">
        <v>5</v>
      </c>
      <c r="N239" s="15"/>
      <c r="AJ239" s="16" t="s">
        <v>6</v>
      </c>
      <c r="AK239" s="17"/>
      <c r="AL239" s="17"/>
      <c r="AM239" s="17"/>
      <c r="AO239" s="16" t="s">
        <v>7</v>
      </c>
      <c r="AP239" s="17"/>
      <c r="AQ239" s="17"/>
      <c r="AR239" s="17"/>
      <c r="AU239" s="39" t="s">
        <v>20</v>
      </c>
      <c r="AV239" s="40"/>
      <c r="AW239" s="40"/>
      <c r="AX239" s="40"/>
      <c r="AY239" s="40"/>
      <c r="AZ239" s="41"/>
    </row>
    <row r="240" spans="2:52" ht="15.75" thickBot="1" x14ac:dyDescent="0.3">
      <c r="D240" s="22">
        <v>31769</v>
      </c>
      <c r="E240" s="23"/>
      <c r="F240" s="24"/>
      <c r="G240" s="25">
        <v>42877</v>
      </c>
      <c r="H240" s="26"/>
      <c r="I240" s="26"/>
      <c r="J240" s="26"/>
      <c r="K240" s="26"/>
      <c r="L240" s="27"/>
      <c r="M240" s="28">
        <v>4</v>
      </c>
      <c r="N240" s="28"/>
      <c r="AJ240" s="29">
        <v>250</v>
      </c>
      <c r="AK240" s="30"/>
      <c r="AL240" s="30"/>
      <c r="AM240" s="30"/>
      <c r="AO240" s="42">
        <f>AJ240-E244-I244-M244-Q244-U244-Y244-AC244-AG244-AK244-AO244</f>
        <v>-4</v>
      </c>
      <c r="AP240" s="43"/>
      <c r="AQ240" s="43"/>
      <c r="AR240" s="43"/>
      <c r="AU240" s="44" t="s">
        <v>21</v>
      </c>
      <c r="AV240" s="45"/>
      <c r="AW240" s="45"/>
      <c r="AX240" s="45" t="s">
        <v>22</v>
      </c>
      <c r="AY240" s="45"/>
      <c r="AZ240" s="46"/>
    </row>
    <row r="241" spans="2:52" ht="15.75" thickBot="1" x14ac:dyDescent="0.3">
      <c r="AU241" s="47">
        <v>10</v>
      </c>
      <c r="AV241" s="48"/>
      <c r="AW241" s="48"/>
      <c r="AX241" s="48">
        <v>13</v>
      </c>
      <c r="AY241" s="48"/>
      <c r="AZ241" s="49"/>
    </row>
    <row r="242" spans="2:52" ht="15.75" thickBot="1" x14ac:dyDescent="0.3">
      <c r="E242" s="18" t="s">
        <v>8</v>
      </c>
      <c r="F242" s="8"/>
      <c r="G242" s="8"/>
      <c r="H242" s="8"/>
      <c r="I242" s="8" t="s">
        <v>9</v>
      </c>
      <c r="J242" s="8"/>
      <c r="K242" s="8"/>
      <c r="L242" s="8"/>
      <c r="M242" s="8" t="s">
        <v>10</v>
      </c>
      <c r="N242" s="8"/>
      <c r="O242" s="8"/>
      <c r="P242" s="8"/>
      <c r="Q242" s="8" t="s">
        <v>11</v>
      </c>
      <c r="R242" s="8"/>
      <c r="S242" s="8"/>
      <c r="T242" s="8"/>
      <c r="U242" s="8" t="s">
        <v>12</v>
      </c>
      <c r="V242" s="8"/>
      <c r="W242" s="8"/>
      <c r="X242" s="8"/>
      <c r="Y242" s="8" t="s">
        <v>13</v>
      </c>
      <c r="Z242" s="8"/>
      <c r="AA242" s="8"/>
      <c r="AB242" s="8"/>
      <c r="AC242" s="8" t="s">
        <v>14</v>
      </c>
      <c r="AD242" s="8"/>
      <c r="AE242" s="8"/>
      <c r="AF242" s="8"/>
      <c r="AG242" s="8" t="s">
        <v>15</v>
      </c>
      <c r="AH242" s="8"/>
      <c r="AI242" s="8"/>
      <c r="AJ242" s="8"/>
      <c r="AK242" s="8" t="s">
        <v>16</v>
      </c>
      <c r="AL242" s="8"/>
      <c r="AM242" s="8"/>
      <c r="AN242" s="8"/>
      <c r="AO242" s="8" t="s">
        <v>17</v>
      </c>
      <c r="AP242" s="8"/>
      <c r="AQ242" s="8"/>
      <c r="AR242" s="10"/>
    </row>
    <row r="243" spans="2:52" ht="15.75" thickBot="1" x14ac:dyDescent="0.3">
      <c r="B243" s="4" t="s">
        <v>19</v>
      </c>
      <c r="C243" s="5"/>
      <c r="D243" s="6"/>
      <c r="E243" s="7">
        <v>42885</v>
      </c>
      <c r="F243" s="8"/>
      <c r="G243" s="8"/>
      <c r="H243" s="8"/>
      <c r="I243" s="9">
        <v>42901</v>
      </c>
      <c r="J243" s="8"/>
      <c r="K243" s="8"/>
      <c r="L243" s="8"/>
      <c r="M243" s="9">
        <v>42916</v>
      </c>
      <c r="N243" s="8"/>
      <c r="O243" s="8"/>
      <c r="P243" s="8"/>
      <c r="Q243" s="9">
        <v>42931</v>
      </c>
      <c r="R243" s="8"/>
      <c r="S243" s="8"/>
      <c r="T243" s="8"/>
      <c r="U243" s="9"/>
      <c r="V243" s="8"/>
      <c r="W243" s="8"/>
      <c r="X243" s="8"/>
      <c r="Y243" s="9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10"/>
    </row>
    <row r="244" spans="2:52" ht="15.75" thickBot="1" x14ac:dyDescent="0.3">
      <c r="E244" s="11">
        <v>65</v>
      </c>
      <c r="F244" s="12"/>
      <c r="G244" s="12"/>
      <c r="H244" s="12"/>
      <c r="I244" s="12">
        <v>63</v>
      </c>
      <c r="J244" s="12"/>
      <c r="K244" s="12"/>
      <c r="L244" s="12"/>
      <c r="M244" s="12">
        <v>63</v>
      </c>
      <c r="N244" s="12"/>
      <c r="O244" s="12"/>
      <c r="P244" s="12"/>
      <c r="Q244" s="12">
        <v>63</v>
      </c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3"/>
    </row>
    <row r="246" spans="2:52" ht="15.75" thickBot="1" x14ac:dyDescent="0.3"/>
    <row r="247" spans="2:52" ht="15.75" thickBot="1" x14ac:dyDescent="0.3">
      <c r="C247" s="1">
        <v>30</v>
      </c>
      <c r="D247" s="14" t="s">
        <v>3</v>
      </c>
      <c r="E247" s="14"/>
      <c r="F247" s="14"/>
      <c r="G247" s="15" t="s">
        <v>4</v>
      </c>
      <c r="H247" s="15"/>
      <c r="I247" s="15"/>
      <c r="J247" s="15"/>
      <c r="K247" s="15"/>
      <c r="L247" s="15"/>
      <c r="M247" s="15" t="s">
        <v>5</v>
      </c>
      <c r="N247" s="15"/>
      <c r="AJ247" s="16" t="s">
        <v>6</v>
      </c>
      <c r="AK247" s="17"/>
      <c r="AL247" s="17"/>
      <c r="AM247" s="17"/>
      <c r="AO247" s="16" t="s">
        <v>7</v>
      </c>
      <c r="AP247" s="17"/>
      <c r="AQ247" s="17"/>
      <c r="AR247" s="17"/>
      <c r="AU247" s="39" t="s">
        <v>20</v>
      </c>
      <c r="AV247" s="40"/>
      <c r="AW247" s="40"/>
      <c r="AX247" s="40"/>
      <c r="AY247" s="40"/>
      <c r="AZ247" s="41"/>
    </row>
    <row r="248" spans="2:52" ht="15.75" thickBot="1" x14ac:dyDescent="0.3">
      <c r="D248" s="22">
        <v>32018</v>
      </c>
      <c r="E248" s="23"/>
      <c r="F248" s="24"/>
      <c r="G248" s="25">
        <v>42903</v>
      </c>
      <c r="H248" s="26"/>
      <c r="I248" s="26"/>
      <c r="J248" s="26"/>
      <c r="K248" s="26"/>
      <c r="L248" s="27"/>
      <c r="M248" s="28">
        <v>4</v>
      </c>
      <c r="N248" s="28"/>
      <c r="R248" s="3"/>
      <c r="S248" s="3" t="s">
        <v>28</v>
      </c>
      <c r="T248" s="3"/>
      <c r="U248" s="3"/>
      <c r="V248" s="3"/>
      <c r="W248" s="3"/>
      <c r="X248" s="3"/>
      <c r="AJ248" s="29">
        <v>330</v>
      </c>
      <c r="AK248" s="30"/>
      <c r="AL248" s="30"/>
      <c r="AM248" s="30"/>
      <c r="AO248" s="42">
        <f>AJ248-E252-I252-M252-Q252-U252-Y252-AC252-AG252-AK252-AO252</f>
        <v>-2</v>
      </c>
      <c r="AP248" s="43"/>
      <c r="AQ248" s="43"/>
      <c r="AR248" s="43"/>
      <c r="AU248" s="44" t="s">
        <v>21</v>
      </c>
      <c r="AV248" s="45"/>
      <c r="AW248" s="45"/>
      <c r="AX248" s="45" t="s">
        <v>22</v>
      </c>
      <c r="AY248" s="45"/>
      <c r="AZ248" s="46"/>
    </row>
    <row r="249" spans="2:52" ht="15.75" thickBot="1" x14ac:dyDescent="0.3">
      <c r="AU249" s="47">
        <v>12</v>
      </c>
      <c r="AV249" s="48"/>
      <c r="AW249" s="48"/>
      <c r="AX249" s="48">
        <v>15</v>
      </c>
      <c r="AY249" s="48"/>
      <c r="AZ249" s="49"/>
    </row>
    <row r="250" spans="2:52" ht="15.75" thickBot="1" x14ac:dyDescent="0.3">
      <c r="E250" s="18" t="s">
        <v>8</v>
      </c>
      <c r="F250" s="8"/>
      <c r="G250" s="8"/>
      <c r="H250" s="8"/>
      <c r="I250" s="8" t="s">
        <v>9</v>
      </c>
      <c r="J250" s="8"/>
      <c r="K250" s="8"/>
      <c r="L250" s="8"/>
      <c r="M250" s="8" t="s">
        <v>10</v>
      </c>
      <c r="N250" s="8"/>
      <c r="O250" s="8"/>
      <c r="P250" s="8"/>
      <c r="Q250" s="8" t="s">
        <v>11</v>
      </c>
      <c r="R250" s="8"/>
      <c r="S250" s="8"/>
      <c r="T250" s="8"/>
      <c r="U250" s="8" t="s">
        <v>12</v>
      </c>
      <c r="V250" s="8"/>
      <c r="W250" s="8"/>
      <c r="X250" s="8"/>
      <c r="Y250" s="8" t="s">
        <v>13</v>
      </c>
      <c r="Z250" s="8"/>
      <c r="AA250" s="8"/>
      <c r="AB250" s="8"/>
      <c r="AC250" s="8" t="s">
        <v>14</v>
      </c>
      <c r="AD250" s="8"/>
      <c r="AE250" s="8"/>
      <c r="AF250" s="8"/>
      <c r="AG250" s="8" t="s">
        <v>15</v>
      </c>
      <c r="AH250" s="8"/>
      <c r="AI250" s="8"/>
      <c r="AJ250" s="8"/>
      <c r="AK250" s="8" t="s">
        <v>16</v>
      </c>
      <c r="AL250" s="8"/>
      <c r="AM250" s="8"/>
      <c r="AN250" s="8"/>
      <c r="AO250" s="8" t="s">
        <v>17</v>
      </c>
      <c r="AP250" s="8"/>
      <c r="AQ250" s="8"/>
      <c r="AR250" s="10"/>
    </row>
    <row r="251" spans="2:52" ht="15.75" thickBot="1" x14ac:dyDescent="0.3">
      <c r="B251" s="4" t="s">
        <v>19</v>
      </c>
      <c r="C251" s="5"/>
      <c r="D251" s="6"/>
      <c r="E251" s="7">
        <v>42916</v>
      </c>
      <c r="F251" s="8"/>
      <c r="G251" s="8"/>
      <c r="H251" s="8"/>
      <c r="I251" s="9">
        <v>42931</v>
      </c>
      <c r="J251" s="8"/>
      <c r="K251" s="8"/>
      <c r="L251" s="8"/>
      <c r="M251" s="9">
        <v>42946</v>
      </c>
      <c r="N251" s="8"/>
      <c r="O251" s="8"/>
      <c r="P251" s="8"/>
      <c r="Q251" s="9">
        <v>42962</v>
      </c>
      <c r="R251" s="8"/>
      <c r="S251" s="8"/>
      <c r="T251" s="8"/>
      <c r="U251" s="9"/>
      <c r="V251" s="8"/>
      <c r="W251" s="8"/>
      <c r="X251" s="8"/>
      <c r="Y251" s="9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10"/>
    </row>
    <row r="252" spans="2:52" ht="15.75" thickBot="1" x14ac:dyDescent="0.3">
      <c r="E252" s="11">
        <v>83</v>
      </c>
      <c r="F252" s="12"/>
      <c r="G252" s="12"/>
      <c r="H252" s="12"/>
      <c r="I252" s="12">
        <v>83</v>
      </c>
      <c r="J252" s="12"/>
      <c r="K252" s="12"/>
      <c r="L252" s="12"/>
      <c r="M252" s="12">
        <v>83</v>
      </c>
      <c r="N252" s="12"/>
      <c r="O252" s="12"/>
      <c r="P252" s="12"/>
      <c r="Q252" s="12">
        <v>83</v>
      </c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3"/>
    </row>
    <row r="254" spans="2:52" ht="15.75" thickBot="1" x14ac:dyDescent="0.3"/>
    <row r="255" spans="2:52" ht="15.75" thickBot="1" x14ac:dyDescent="0.3">
      <c r="B255" s="2"/>
      <c r="C255" s="1">
        <v>31</v>
      </c>
      <c r="D255" s="14" t="s">
        <v>3</v>
      </c>
      <c r="E255" s="14"/>
      <c r="F255" s="14"/>
      <c r="G255" s="66" t="s">
        <v>4</v>
      </c>
      <c r="H255" s="66"/>
      <c r="I255" s="66"/>
      <c r="J255" s="66"/>
      <c r="K255" s="66"/>
      <c r="L255" s="66"/>
      <c r="M255" s="66" t="s">
        <v>5</v>
      </c>
      <c r="N255" s="6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16" t="s">
        <v>6</v>
      </c>
      <c r="AK255" s="17"/>
      <c r="AL255" s="17"/>
      <c r="AM255" s="17"/>
      <c r="AN255" s="2"/>
      <c r="AO255" s="16" t="s">
        <v>7</v>
      </c>
      <c r="AP255" s="17"/>
      <c r="AQ255" s="17"/>
      <c r="AR255" s="17"/>
      <c r="AU255" s="39" t="s">
        <v>20</v>
      </c>
      <c r="AV255" s="40"/>
      <c r="AW255" s="40"/>
      <c r="AX255" s="40"/>
      <c r="AY255" s="40"/>
      <c r="AZ255" s="41"/>
    </row>
    <row r="256" spans="2:52" ht="15.75" thickBot="1" x14ac:dyDescent="0.3">
      <c r="B256" s="2"/>
      <c r="C256" s="2"/>
      <c r="D256" s="22">
        <v>32335</v>
      </c>
      <c r="E256" s="23"/>
      <c r="F256" s="24"/>
      <c r="G256" s="67">
        <v>42927</v>
      </c>
      <c r="H256" s="68"/>
      <c r="I256" s="68"/>
      <c r="J256" s="68"/>
      <c r="K256" s="68"/>
      <c r="L256" s="69"/>
      <c r="M256" s="70">
        <v>4</v>
      </c>
      <c r="N256" s="70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9">
        <v>550</v>
      </c>
      <c r="AK256" s="30"/>
      <c r="AL256" s="30"/>
      <c r="AM256" s="30"/>
      <c r="AN256" s="2"/>
      <c r="AO256" s="42">
        <f>AJ256-E260-I260-M260-Q260-U260-Y260-AC260-AG260-AK260-AO260</f>
        <v>-2</v>
      </c>
      <c r="AP256" s="43"/>
      <c r="AQ256" s="43"/>
      <c r="AR256" s="43"/>
      <c r="AU256" s="44" t="s">
        <v>21</v>
      </c>
      <c r="AV256" s="45"/>
      <c r="AW256" s="45"/>
      <c r="AX256" s="45" t="s">
        <v>22</v>
      </c>
      <c r="AY256" s="45"/>
      <c r="AZ256" s="46"/>
    </row>
    <row r="257" spans="2:52" ht="15.75" thickBo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U257" s="47">
        <v>14</v>
      </c>
      <c r="AV257" s="48"/>
      <c r="AW257" s="48"/>
      <c r="AX257" s="48">
        <v>17</v>
      </c>
      <c r="AY257" s="48"/>
      <c r="AZ257" s="49"/>
    </row>
    <row r="258" spans="2:52" ht="15.75" thickBot="1" x14ac:dyDescent="0.3">
      <c r="B258" s="2"/>
      <c r="C258" s="2"/>
      <c r="D258" s="2"/>
      <c r="E258" s="71" t="s">
        <v>8</v>
      </c>
      <c r="F258" s="72"/>
      <c r="G258" s="72"/>
      <c r="H258" s="72"/>
      <c r="I258" s="72" t="s">
        <v>9</v>
      </c>
      <c r="J258" s="72"/>
      <c r="K258" s="72"/>
      <c r="L258" s="72"/>
      <c r="M258" s="72" t="s">
        <v>10</v>
      </c>
      <c r="N258" s="72"/>
      <c r="O258" s="72"/>
      <c r="P258" s="72"/>
      <c r="Q258" s="72" t="s">
        <v>11</v>
      </c>
      <c r="R258" s="72"/>
      <c r="S258" s="72"/>
      <c r="T258" s="72"/>
      <c r="U258" s="72" t="s">
        <v>12</v>
      </c>
      <c r="V258" s="72"/>
      <c r="W258" s="72"/>
      <c r="X258" s="72"/>
      <c r="Y258" s="72" t="s">
        <v>13</v>
      </c>
      <c r="Z258" s="72"/>
      <c r="AA258" s="72"/>
      <c r="AB258" s="72"/>
      <c r="AC258" s="72" t="s">
        <v>14</v>
      </c>
      <c r="AD258" s="72"/>
      <c r="AE258" s="72"/>
      <c r="AF258" s="72"/>
      <c r="AG258" s="72" t="s">
        <v>15</v>
      </c>
      <c r="AH258" s="72"/>
      <c r="AI258" s="72"/>
      <c r="AJ258" s="72"/>
      <c r="AK258" s="72" t="s">
        <v>16</v>
      </c>
      <c r="AL258" s="72"/>
      <c r="AM258" s="72"/>
      <c r="AN258" s="72"/>
      <c r="AO258" s="8" t="s">
        <v>17</v>
      </c>
      <c r="AP258" s="8"/>
      <c r="AQ258" s="8"/>
      <c r="AR258" s="10"/>
    </row>
    <row r="259" spans="2:52" ht="15.75" thickBot="1" x14ac:dyDescent="0.3">
      <c r="B259" s="73" t="s">
        <v>19</v>
      </c>
      <c r="C259" s="74"/>
      <c r="D259" s="75"/>
      <c r="E259" s="76">
        <v>42946</v>
      </c>
      <c r="F259" s="72"/>
      <c r="G259" s="72"/>
      <c r="H259" s="72"/>
      <c r="I259" s="77">
        <v>42962</v>
      </c>
      <c r="J259" s="72"/>
      <c r="K259" s="72"/>
      <c r="L259" s="72"/>
      <c r="M259" s="77">
        <v>42977</v>
      </c>
      <c r="N259" s="72"/>
      <c r="O259" s="72"/>
      <c r="P259" s="72"/>
      <c r="Q259" s="77">
        <v>42995</v>
      </c>
      <c r="R259" s="72"/>
      <c r="S259" s="72"/>
      <c r="T259" s="72"/>
      <c r="U259" s="77"/>
      <c r="V259" s="72"/>
      <c r="W259" s="72"/>
      <c r="X259" s="72"/>
      <c r="Y259" s="77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"/>
      <c r="AP259" s="8"/>
      <c r="AQ259" s="8"/>
      <c r="AR259" s="10"/>
    </row>
    <row r="260" spans="2:52" ht="15.75" thickBot="1" x14ac:dyDescent="0.3">
      <c r="B260" s="2"/>
      <c r="C260" s="2"/>
      <c r="D260" s="2"/>
      <c r="E260" s="78">
        <v>138</v>
      </c>
      <c r="F260" s="79"/>
      <c r="G260" s="79"/>
      <c r="H260" s="79"/>
      <c r="I260" s="79">
        <v>138</v>
      </c>
      <c r="J260" s="79"/>
      <c r="K260" s="79"/>
      <c r="L260" s="79"/>
      <c r="M260" s="79">
        <v>138</v>
      </c>
      <c r="N260" s="79"/>
      <c r="O260" s="79"/>
      <c r="P260" s="79"/>
      <c r="Q260" s="79">
        <v>138</v>
      </c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12"/>
      <c r="AP260" s="12"/>
      <c r="AQ260" s="12"/>
      <c r="AR260" s="13"/>
    </row>
    <row r="261" spans="2:52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2:52" ht="15.75" thickBo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2:52" ht="15.75" thickBot="1" x14ac:dyDescent="0.3">
      <c r="B263" s="2"/>
      <c r="C263" s="1">
        <v>32</v>
      </c>
      <c r="D263" s="14" t="s">
        <v>3</v>
      </c>
      <c r="E263" s="14"/>
      <c r="F263" s="14"/>
      <c r="G263" s="66" t="s">
        <v>4</v>
      </c>
      <c r="H263" s="66"/>
      <c r="I263" s="66"/>
      <c r="J263" s="66"/>
      <c r="K263" s="66"/>
      <c r="L263" s="66"/>
      <c r="M263" s="66" t="s">
        <v>5</v>
      </c>
      <c r="N263" s="6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16" t="s">
        <v>6</v>
      </c>
      <c r="AK263" s="17"/>
      <c r="AL263" s="17"/>
      <c r="AM263" s="17"/>
      <c r="AN263" s="2"/>
      <c r="AO263" s="16" t="s">
        <v>7</v>
      </c>
      <c r="AP263" s="17"/>
      <c r="AQ263" s="17"/>
      <c r="AR263" s="17"/>
      <c r="AU263" s="39" t="s">
        <v>20</v>
      </c>
      <c r="AV263" s="40"/>
      <c r="AW263" s="40"/>
      <c r="AX263" s="40"/>
      <c r="AY263" s="40"/>
      <c r="AZ263" s="41"/>
    </row>
    <row r="264" spans="2:52" ht="15.75" thickBot="1" x14ac:dyDescent="0.3">
      <c r="B264" s="2"/>
      <c r="C264" s="2"/>
      <c r="D264" s="22">
        <v>32968</v>
      </c>
      <c r="E264" s="23"/>
      <c r="F264" s="24"/>
      <c r="G264" s="67">
        <v>42975</v>
      </c>
      <c r="H264" s="68"/>
      <c r="I264" s="68"/>
      <c r="J264" s="68"/>
      <c r="K264" s="68"/>
      <c r="L264" s="69"/>
      <c r="M264" s="70">
        <v>5</v>
      </c>
      <c r="N264" s="70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9">
        <v>920</v>
      </c>
      <c r="AK264" s="30"/>
      <c r="AL264" s="30"/>
      <c r="AM264" s="30"/>
      <c r="AN264" s="2"/>
      <c r="AO264" s="42">
        <f>AJ264-E268-I268-M268-Q268-U268-Y268-AC268-AG268-AK268-AO268</f>
        <v>0</v>
      </c>
      <c r="AP264" s="43"/>
      <c r="AQ264" s="43"/>
      <c r="AR264" s="43"/>
      <c r="AU264" s="44" t="s">
        <v>21</v>
      </c>
      <c r="AV264" s="45"/>
      <c r="AW264" s="45"/>
      <c r="AX264" s="45" t="s">
        <v>22</v>
      </c>
      <c r="AY264" s="45"/>
      <c r="AZ264" s="46"/>
    </row>
    <row r="265" spans="2:52" ht="15.75" thickBo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U265" s="47">
        <v>17</v>
      </c>
      <c r="AV265" s="48"/>
      <c r="AW265" s="48"/>
      <c r="AX265" s="48">
        <v>21</v>
      </c>
      <c r="AY265" s="48"/>
      <c r="AZ265" s="49"/>
    </row>
    <row r="266" spans="2:52" ht="15.75" thickBot="1" x14ac:dyDescent="0.3">
      <c r="B266" s="2"/>
      <c r="C266" s="2"/>
      <c r="D266" s="2"/>
      <c r="E266" s="71" t="s">
        <v>8</v>
      </c>
      <c r="F266" s="72"/>
      <c r="G266" s="72"/>
      <c r="H266" s="72"/>
      <c r="I266" s="72" t="s">
        <v>9</v>
      </c>
      <c r="J266" s="72"/>
      <c r="K266" s="72"/>
      <c r="L266" s="72"/>
      <c r="M266" s="72" t="s">
        <v>10</v>
      </c>
      <c r="N266" s="72"/>
      <c r="O266" s="72"/>
      <c r="P266" s="72"/>
      <c r="Q266" s="72" t="s">
        <v>11</v>
      </c>
      <c r="R266" s="72"/>
      <c r="S266" s="72"/>
      <c r="T266" s="72"/>
      <c r="U266" s="72" t="s">
        <v>12</v>
      </c>
      <c r="V266" s="72"/>
      <c r="W266" s="72"/>
      <c r="X266" s="72"/>
      <c r="Y266" s="72" t="s">
        <v>13</v>
      </c>
      <c r="Z266" s="72"/>
      <c r="AA266" s="72"/>
      <c r="AB266" s="72"/>
      <c r="AC266" s="72" t="s">
        <v>14</v>
      </c>
      <c r="AD266" s="72"/>
      <c r="AE266" s="72"/>
      <c r="AF266" s="72"/>
      <c r="AG266" s="72" t="s">
        <v>15</v>
      </c>
      <c r="AH266" s="72"/>
      <c r="AI266" s="72"/>
      <c r="AJ266" s="72"/>
      <c r="AK266" s="72" t="s">
        <v>16</v>
      </c>
      <c r="AL266" s="72"/>
      <c r="AM266" s="72"/>
      <c r="AN266" s="72"/>
      <c r="AO266" s="8" t="s">
        <v>17</v>
      </c>
      <c r="AP266" s="8"/>
      <c r="AQ266" s="8"/>
      <c r="AR266" s="10"/>
    </row>
    <row r="267" spans="2:52" ht="15.75" thickBot="1" x14ac:dyDescent="0.3">
      <c r="B267" s="73" t="s">
        <v>19</v>
      </c>
      <c r="C267" s="74"/>
      <c r="D267" s="75"/>
      <c r="E267" s="76">
        <v>42995</v>
      </c>
      <c r="F267" s="72"/>
      <c r="G267" s="72"/>
      <c r="H267" s="72"/>
      <c r="I267" s="77">
        <v>43008</v>
      </c>
      <c r="J267" s="72"/>
      <c r="K267" s="72"/>
      <c r="L267" s="72"/>
      <c r="M267" s="77">
        <v>43023</v>
      </c>
      <c r="N267" s="72"/>
      <c r="O267" s="72"/>
      <c r="P267" s="72"/>
      <c r="Q267" s="77">
        <v>43040</v>
      </c>
      <c r="R267" s="72"/>
      <c r="S267" s="72"/>
      <c r="T267" s="72"/>
      <c r="U267" s="77">
        <v>43054</v>
      </c>
      <c r="V267" s="72"/>
      <c r="W267" s="72"/>
      <c r="X267" s="72"/>
      <c r="Y267" s="77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"/>
      <c r="AP267" s="8"/>
      <c r="AQ267" s="8"/>
      <c r="AR267" s="10"/>
    </row>
    <row r="268" spans="2:52" ht="15.75" thickBot="1" x14ac:dyDescent="0.3">
      <c r="B268" s="2"/>
      <c r="C268" s="2"/>
      <c r="D268" s="2"/>
      <c r="E268" s="78">
        <v>184</v>
      </c>
      <c r="F268" s="79"/>
      <c r="G268" s="79"/>
      <c r="H268" s="79"/>
      <c r="I268" s="79">
        <v>184</v>
      </c>
      <c r="J268" s="79"/>
      <c r="K268" s="79"/>
      <c r="L268" s="79"/>
      <c r="M268" s="79">
        <v>184</v>
      </c>
      <c r="N268" s="79"/>
      <c r="O268" s="79"/>
      <c r="P268" s="79"/>
      <c r="Q268" s="79">
        <v>184</v>
      </c>
      <c r="R268" s="79"/>
      <c r="S268" s="79"/>
      <c r="T268" s="79"/>
      <c r="U268" s="79">
        <v>184</v>
      </c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12"/>
      <c r="AP268" s="12"/>
      <c r="AQ268" s="12"/>
      <c r="AR268" s="13"/>
    </row>
    <row r="269" spans="2:52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2:52" ht="15.75" thickBo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2:52" ht="15.75" thickBot="1" x14ac:dyDescent="0.3">
      <c r="B271" s="2"/>
      <c r="C271" s="1">
        <v>33</v>
      </c>
      <c r="D271" s="14" t="s">
        <v>3</v>
      </c>
      <c r="E271" s="14"/>
      <c r="F271" s="14"/>
      <c r="G271" s="66" t="s">
        <v>4</v>
      </c>
      <c r="H271" s="66"/>
      <c r="I271" s="66"/>
      <c r="J271" s="66"/>
      <c r="K271" s="66"/>
      <c r="L271" s="66"/>
      <c r="M271" s="66" t="s">
        <v>5</v>
      </c>
      <c r="N271" s="6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16" t="s">
        <v>6</v>
      </c>
      <c r="AK271" s="17"/>
      <c r="AL271" s="17"/>
      <c r="AM271" s="17"/>
      <c r="AN271" s="2"/>
      <c r="AO271" s="16" t="s">
        <v>7</v>
      </c>
      <c r="AP271" s="17"/>
      <c r="AQ271" s="17"/>
      <c r="AR271" s="17"/>
      <c r="AU271" s="39" t="s">
        <v>20</v>
      </c>
      <c r="AV271" s="40"/>
      <c r="AW271" s="40"/>
      <c r="AX271" s="40"/>
      <c r="AY271" s="40"/>
      <c r="AZ271" s="41"/>
    </row>
    <row r="272" spans="2:52" ht="15.75" thickBot="1" x14ac:dyDescent="0.3">
      <c r="B272" s="2"/>
      <c r="C272" s="2"/>
      <c r="D272" s="22">
        <v>33659</v>
      </c>
      <c r="E272" s="23"/>
      <c r="F272" s="24"/>
      <c r="G272" s="67">
        <v>43031</v>
      </c>
      <c r="H272" s="68"/>
      <c r="I272" s="68"/>
      <c r="J272" s="68"/>
      <c r="K272" s="68"/>
      <c r="L272" s="69"/>
      <c r="M272" s="70">
        <v>4</v>
      </c>
      <c r="N272" s="70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9">
        <v>600</v>
      </c>
      <c r="AK272" s="30"/>
      <c r="AL272" s="30"/>
      <c r="AM272" s="30"/>
      <c r="AN272" s="2"/>
      <c r="AO272" s="42">
        <f>AJ272-E276-I276-M276-Q276-U276-Y276-AC276-AG276-AK276-AO276</f>
        <v>0</v>
      </c>
      <c r="AP272" s="43"/>
      <c r="AQ272" s="43"/>
      <c r="AR272" s="43"/>
      <c r="AU272" s="44" t="s">
        <v>21</v>
      </c>
      <c r="AV272" s="45"/>
      <c r="AW272" s="45"/>
      <c r="AX272" s="45" t="s">
        <v>22</v>
      </c>
      <c r="AY272" s="45"/>
      <c r="AZ272" s="46"/>
    </row>
    <row r="273" spans="2:52" ht="15.75" thickBo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U273" s="47">
        <v>20</v>
      </c>
      <c r="AV273" s="48"/>
      <c r="AW273" s="48"/>
      <c r="AX273" s="48">
        <v>23</v>
      </c>
      <c r="AY273" s="48"/>
      <c r="AZ273" s="49"/>
    </row>
    <row r="274" spans="2:52" ht="15.75" thickBot="1" x14ac:dyDescent="0.3">
      <c r="B274" s="2"/>
      <c r="C274" s="2"/>
      <c r="D274" s="2"/>
      <c r="E274" s="71" t="s">
        <v>8</v>
      </c>
      <c r="F274" s="72"/>
      <c r="G274" s="72"/>
      <c r="H274" s="72"/>
      <c r="I274" s="72" t="s">
        <v>9</v>
      </c>
      <c r="J274" s="72"/>
      <c r="K274" s="72"/>
      <c r="L274" s="72"/>
      <c r="M274" s="72" t="s">
        <v>10</v>
      </c>
      <c r="N274" s="72"/>
      <c r="O274" s="72"/>
      <c r="P274" s="72"/>
      <c r="Q274" s="72" t="s">
        <v>11</v>
      </c>
      <c r="R274" s="72"/>
      <c r="S274" s="72"/>
      <c r="T274" s="72"/>
      <c r="U274" s="72" t="s">
        <v>12</v>
      </c>
      <c r="V274" s="72"/>
      <c r="W274" s="72"/>
      <c r="X274" s="72"/>
      <c r="Y274" s="72" t="s">
        <v>13</v>
      </c>
      <c r="Z274" s="72"/>
      <c r="AA274" s="72"/>
      <c r="AB274" s="72"/>
      <c r="AC274" s="72" t="s">
        <v>14</v>
      </c>
      <c r="AD274" s="72"/>
      <c r="AE274" s="72"/>
      <c r="AF274" s="72"/>
      <c r="AG274" s="72" t="s">
        <v>15</v>
      </c>
      <c r="AH274" s="72"/>
      <c r="AI274" s="72"/>
      <c r="AJ274" s="72"/>
      <c r="AK274" s="72" t="s">
        <v>16</v>
      </c>
      <c r="AL274" s="72"/>
      <c r="AM274" s="72"/>
      <c r="AN274" s="72"/>
      <c r="AO274" s="8" t="s">
        <v>17</v>
      </c>
      <c r="AP274" s="8"/>
      <c r="AQ274" s="8"/>
      <c r="AR274" s="10"/>
    </row>
    <row r="275" spans="2:52" ht="15.75" thickBot="1" x14ac:dyDescent="0.3">
      <c r="B275" s="73" t="s">
        <v>19</v>
      </c>
      <c r="C275" s="74"/>
      <c r="D275" s="75"/>
      <c r="E275" s="76">
        <v>43040</v>
      </c>
      <c r="F275" s="72"/>
      <c r="G275" s="72"/>
      <c r="H275" s="72"/>
      <c r="I275" s="77">
        <v>43054</v>
      </c>
      <c r="J275" s="72"/>
      <c r="K275" s="72"/>
      <c r="L275" s="72"/>
      <c r="M275" s="77">
        <v>43070</v>
      </c>
      <c r="N275" s="72"/>
      <c r="O275" s="72"/>
      <c r="P275" s="72"/>
      <c r="Q275" s="77">
        <v>43084</v>
      </c>
      <c r="R275" s="72"/>
      <c r="S275" s="72"/>
      <c r="T275" s="72"/>
      <c r="U275" s="77"/>
      <c r="V275" s="72"/>
      <c r="W275" s="72"/>
      <c r="X275" s="72"/>
      <c r="Y275" s="77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"/>
      <c r="AP275" s="8"/>
      <c r="AQ275" s="8"/>
      <c r="AR275" s="10"/>
    </row>
    <row r="276" spans="2:52" ht="15.75" thickBot="1" x14ac:dyDescent="0.3">
      <c r="B276" s="2"/>
      <c r="C276" s="2"/>
      <c r="D276" s="2"/>
      <c r="E276" s="78">
        <v>150</v>
      </c>
      <c r="F276" s="79"/>
      <c r="G276" s="79"/>
      <c r="H276" s="79"/>
      <c r="I276" s="79">
        <v>150</v>
      </c>
      <c r="J276" s="79"/>
      <c r="K276" s="79"/>
      <c r="L276" s="79"/>
      <c r="M276" s="79">
        <v>150</v>
      </c>
      <c r="N276" s="79"/>
      <c r="O276" s="79"/>
      <c r="P276" s="79"/>
      <c r="Q276" s="79">
        <v>150</v>
      </c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12"/>
      <c r="AP276" s="12"/>
      <c r="AQ276" s="12"/>
      <c r="AR276" s="13"/>
    </row>
    <row r="277" spans="2:52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2:52" ht="15.75" thickBo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2:52" ht="15.75" thickBot="1" x14ac:dyDescent="0.3">
      <c r="B279" s="2"/>
      <c r="C279" s="1">
        <v>34</v>
      </c>
      <c r="D279" s="14" t="s">
        <v>3</v>
      </c>
      <c r="E279" s="14"/>
      <c r="F279" s="14"/>
      <c r="G279" s="66" t="s">
        <v>4</v>
      </c>
      <c r="H279" s="66"/>
      <c r="I279" s="66"/>
      <c r="J279" s="66"/>
      <c r="K279" s="66"/>
      <c r="L279" s="66"/>
      <c r="M279" s="66" t="s">
        <v>5</v>
      </c>
      <c r="N279" s="6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16" t="s">
        <v>6</v>
      </c>
      <c r="AK279" s="17"/>
      <c r="AL279" s="17"/>
      <c r="AM279" s="17"/>
      <c r="AN279" s="2"/>
      <c r="AO279" s="16" t="s">
        <v>7</v>
      </c>
      <c r="AP279" s="17"/>
      <c r="AQ279" s="17"/>
      <c r="AR279" s="17"/>
      <c r="AU279" s="39" t="s">
        <v>20</v>
      </c>
      <c r="AV279" s="40"/>
      <c r="AW279" s="40"/>
      <c r="AX279" s="40"/>
      <c r="AY279" s="40"/>
      <c r="AZ279" s="41"/>
    </row>
    <row r="280" spans="2:52" ht="15.75" thickBot="1" x14ac:dyDescent="0.3">
      <c r="B280" s="2"/>
      <c r="C280" s="2"/>
      <c r="D280" s="22">
        <v>33747</v>
      </c>
      <c r="E280" s="23"/>
      <c r="F280" s="24"/>
      <c r="G280" s="67">
        <v>43065</v>
      </c>
      <c r="H280" s="68"/>
      <c r="I280" s="68"/>
      <c r="J280" s="68"/>
      <c r="K280" s="68"/>
      <c r="L280" s="69"/>
      <c r="M280" s="70">
        <v>4</v>
      </c>
      <c r="N280" s="70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9">
        <v>660</v>
      </c>
      <c r="AK280" s="30"/>
      <c r="AL280" s="30"/>
      <c r="AM280" s="30"/>
      <c r="AN280" s="2"/>
      <c r="AO280" s="42">
        <f>AJ280-E284-I284-M284-Q284-U284-Y284-AC284-AG284-AK284-AO284</f>
        <v>0</v>
      </c>
      <c r="AP280" s="43"/>
      <c r="AQ280" s="43"/>
      <c r="AR280" s="43"/>
      <c r="AU280" s="44" t="s">
        <v>21</v>
      </c>
      <c r="AV280" s="45"/>
      <c r="AW280" s="45"/>
      <c r="AX280" s="45" t="s">
        <v>22</v>
      </c>
      <c r="AY280" s="45"/>
      <c r="AZ280" s="46"/>
    </row>
    <row r="281" spans="2:52" ht="15.75" thickBo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U281" s="47">
        <v>23</v>
      </c>
      <c r="AV281" s="48"/>
      <c r="AW281" s="48"/>
      <c r="AX281" s="48">
        <v>2</v>
      </c>
      <c r="AY281" s="48"/>
      <c r="AZ281" s="49"/>
    </row>
    <row r="282" spans="2:52" ht="15.75" thickBot="1" x14ac:dyDescent="0.3">
      <c r="B282" s="2"/>
      <c r="C282" s="2"/>
      <c r="D282" s="2"/>
      <c r="E282" s="71" t="s">
        <v>8</v>
      </c>
      <c r="F282" s="72"/>
      <c r="G282" s="72"/>
      <c r="H282" s="72"/>
      <c r="I282" s="72" t="s">
        <v>9</v>
      </c>
      <c r="J282" s="72"/>
      <c r="K282" s="72"/>
      <c r="L282" s="72"/>
      <c r="M282" s="72" t="s">
        <v>10</v>
      </c>
      <c r="N282" s="72"/>
      <c r="O282" s="72"/>
      <c r="P282" s="72"/>
      <c r="Q282" s="72" t="s">
        <v>11</v>
      </c>
      <c r="R282" s="72"/>
      <c r="S282" s="72"/>
      <c r="T282" s="72"/>
      <c r="U282" s="72" t="s">
        <v>12</v>
      </c>
      <c r="V282" s="72"/>
      <c r="W282" s="72"/>
      <c r="X282" s="72"/>
      <c r="Y282" s="72" t="s">
        <v>13</v>
      </c>
      <c r="Z282" s="72"/>
      <c r="AA282" s="72"/>
      <c r="AB282" s="72"/>
      <c r="AC282" s="72" t="s">
        <v>14</v>
      </c>
      <c r="AD282" s="72"/>
      <c r="AE282" s="72"/>
      <c r="AF282" s="72"/>
      <c r="AG282" s="72" t="s">
        <v>15</v>
      </c>
      <c r="AH282" s="72"/>
      <c r="AI282" s="72"/>
      <c r="AJ282" s="72"/>
      <c r="AK282" s="72" t="s">
        <v>16</v>
      </c>
      <c r="AL282" s="72"/>
      <c r="AM282" s="72"/>
      <c r="AN282" s="72"/>
      <c r="AO282" s="8" t="s">
        <v>17</v>
      </c>
      <c r="AP282" s="8"/>
      <c r="AQ282" s="8"/>
      <c r="AR282" s="10"/>
    </row>
    <row r="283" spans="2:52" ht="15.75" thickBot="1" x14ac:dyDescent="0.3">
      <c r="B283" s="73" t="s">
        <v>19</v>
      </c>
      <c r="C283" s="74"/>
      <c r="D283" s="75"/>
      <c r="E283" s="76">
        <v>43084</v>
      </c>
      <c r="F283" s="72"/>
      <c r="G283" s="72"/>
      <c r="H283" s="72"/>
      <c r="I283" s="77">
        <v>43099</v>
      </c>
      <c r="J283" s="72"/>
      <c r="K283" s="72"/>
      <c r="L283" s="72"/>
      <c r="M283" s="77">
        <v>43115</v>
      </c>
      <c r="N283" s="72"/>
      <c r="O283" s="72"/>
      <c r="P283" s="72"/>
      <c r="Q283" s="77">
        <v>43131</v>
      </c>
      <c r="R283" s="72"/>
      <c r="S283" s="72"/>
      <c r="T283" s="72"/>
      <c r="U283" s="77"/>
      <c r="V283" s="72"/>
      <c r="W283" s="72"/>
      <c r="X283" s="72"/>
      <c r="Y283" s="77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"/>
      <c r="AP283" s="8"/>
      <c r="AQ283" s="8"/>
      <c r="AR283" s="10"/>
    </row>
    <row r="284" spans="2:52" ht="15.75" thickBot="1" x14ac:dyDescent="0.3">
      <c r="B284" s="2"/>
      <c r="C284" s="2"/>
      <c r="D284" s="2"/>
      <c r="E284" s="78">
        <v>165</v>
      </c>
      <c r="F284" s="79"/>
      <c r="G284" s="79"/>
      <c r="H284" s="79"/>
      <c r="I284" s="79">
        <v>165</v>
      </c>
      <c r="J284" s="79"/>
      <c r="K284" s="79"/>
      <c r="L284" s="79"/>
      <c r="M284" s="79">
        <v>165</v>
      </c>
      <c r="N284" s="79"/>
      <c r="O284" s="79"/>
      <c r="P284" s="79"/>
      <c r="Q284" s="79">
        <v>165</v>
      </c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12"/>
      <c r="AP284" s="12"/>
      <c r="AQ284" s="12"/>
      <c r="AR284" s="13"/>
    </row>
    <row r="285" spans="2:52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2:52" ht="15.75" thickBo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2:52" ht="15.75" thickBot="1" x14ac:dyDescent="0.3">
      <c r="B287" s="2"/>
      <c r="C287" s="1">
        <v>35</v>
      </c>
      <c r="D287" s="14" t="s">
        <v>3</v>
      </c>
      <c r="E287" s="14"/>
      <c r="F287" s="14"/>
      <c r="G287" s="66" t="s">
        <v>4</v>
      </c>
      <c r="H287" s="66"/>
      <c r="I287" s="66"/>
      <c r="J287" s="66"/>
      <c r="K287" s="66"/>
      <c r="L287" s="66"/>
      <c r="M287" s="66" t="s">
        <v>5</v>
      </c>
      <c r="N287" s="6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16" t="s">
        <v>6</v>
      </c>
      <c r="AK287" s="17"/>
      <c r="AL287" s="17"/>
      <c r="AM287" s="17"/>
      <c r="AN287" s="2"/>
      <c r="AO287" s="16" t="s">
        <v>7</v>
      </c>
      <c r="AP287" s="17"/>
      <c r="AQ287" s="17"/>
      <c r="AR287" s="17"/>
      <c r="AU287" s="39" t="s">
        <v>20</v>
      </c>
      <c r="AV287" s="40"/>
      <c r="AW287" s="40"/>
      <c r="AX287" s="40"/>
      <c r="AY287" s="40"/>
      <c r="AZ287" s="41"/>
    </row>
    <row r="288" spans="2:52" ht="15.75" thickBot="1" x14ac:dyDescent="0.3">
      <c r="B288" s="2"/>
      <c r="C288" s="2"/>
      <c r="D288" s="22">
        <v>34409</v>
      </c>
      <c r="E288" s="23"/>
      <c r="F288" s="24"/>
      <c r="G288" s="67">
        <v>43090</v>
      </c>
      <c r="H288" s="68"/>
      <c r="I288" s="68"/>
      <c r="J288" s="68"/>
      <c r="K288" s="68"/>
      <c r="L288" s="69"/>
      <c r="M288" s="70">
        <v>4</v>
      </c>
      <c r="N288" s="70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9">
        <v>250</v>
      </c>
      <c r="AK288" s="30"/>
      <c r="AL288" s="30"/>
      <c r="AM288" s="30"/>
      <c r="AN288" s="2"/>
      <c r="AO288" s="42">
        <f>AJ288-E292-I292-M292-Q292-U292-Y292-AC292-AG292-AK292-AO292</f>
        <v>-2</v>
      </c>
      <c r="AP288" s="43"/>
      <c r="AQ288" s="43"/>
      <c r="AR288" s="43"/>
      <c r="AU288" s="44" t="s">
        <v>21</v>
      </c>
      <c r="AV288" s="45"/>
      <c r="AW288" s="45"/>
      <c r="AX288" s="45" t="s">
        <v>22</v>
      </c>
      <c r="AY288" s="45"/>
      <c r="AZ288" s="46"/>
    </row>
    <row r="289" spans="2:52" ht="15.75" thickBo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U289" s="47">
        <v>24</v>
      </c>
      <c r="AV289" s="48"/>
      <c r="AW289" s="48"/>
      <c r="AX289" s="48">
        <v>3</v>
      </c>
      <c r="AY289" s="48"/>
      <c r="AZ289" s="49"/>
    </row>
    <row r="290" spans="2:52" ht="15.75" thickBot="1" x14ac:dyDescent="0.3">
      <c r="B290" s="2"/>
      <c r="C290" s="2"/>
      <c r="D290" s="2"/>
      <c r="E290" s="71" t="s">
        <v>8</v>
      </c>
      <c r="F290" s="72"/>
      <c r="G290" s="72"/>
      <c r="H290" s="72"/>
      <c r="I290" s="72" t="s">
        <v>9</v>
      </c>
      <c r="J290" s="72"/>
      <c r="K290" s="72"/>
      <c r="L290" s="72"/>
      <c r="M290" s="72" t="s">
        <v>10</v>
      </c>
      <c r="N290" s="72"/>
      <c r="O290" s="72"/>
      <c r="P290" s="72"/>
      <c r="Q290" s="72" t="s">
        <v>11</v>
      </c>
      <c r="R290" s="72"/>
      <c r="S290" s="72"/>
      <c r="T290" s="72"/>
      <c r="U290" s="72" t="s">
        <v>12</v>
      </c>
      <c r="V290" s="72"/>
      <c r="W290" s="72"/>
      <c r="X290" s="72"/>
      <c r="Y290" s="72" t="s">
        <v>13</v>
      </c>
      <c r="Z290" s="72"/>
      <c r="AA290" s="72"/>
      <c r="AB290" s="72"/>
      <c r="AC290" s="72" t="s">
        <v>14</v>
      </c>
      <c r="AD290" s="72"/>
      <c r="AE290" s="72"/>
      <c r="AF290" s="72"/>
      <c r="AG290" s="72" t="s">
        <v>15</v>
      </c>
      <c r="AH290" s="72"/>
      <c r="AI290" s="72"/>
      <c r="AJ290" s="72"/>
      <c r="AK290" s="72" t="s">
        <v>16</v>
      </c>
      <c r="AL290" s="72"/>
      <c r="AM290" s="72"/>
      <c r="AN290" s="72"/>
      <c r="AO290" s="8" t="s">
        <v>17</v>
      </c>
      <c r="AP290" s="8"/>
      <c r="AQ290" s="8"/>
      <c r="AR290" s="10"/>
    </row>
    <row r="291" spans="2:52" ht="15.75" thickBot="1" x14ac:dyDescent="0.3">
      <c r="B291" s="73" t="s">
        <v>19</v>
      </c>
      <c r="C291" s="74"/>
      <c r="D291" s="75"/>
      <c r="E291" s="76">
        <v>43099</v>
      </c>
      <c r="F291" s="72"/>
      <c r="G291" s="72"/>
      <c r="H291" s="72"/>
      <c r="I291" s="77">
        <v>43115</v>
      </c>
      <c r="J291" s="72"/>
      <c r="K291" s="72"/>
      <c r="L291" s="72"/>
      <c r="M291" s="77">
        <v>43131</v>
      </c>
      <c r="N291" s="72"/>
      <c r="O291" s="72"/>
      <c r="P291" s="72"/>
      <c r="Q291" s="77">
        <v>43146</v>
      </c>
      <c r="R291" s="72"/>
      <c r="S291" s="72"/>
      <c r="T291" s="72"/>
      <c r="U291" s="77"/>
      <c r="V291" s="72"/>
      <c r="W291" s="72"/>
      <c r="X291" s="72"/>
      <c r="Y291" s="77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"/>
      <c r="AP291" s="8"/>
      <c r="AQ291" s="8"/>
      <c r="AR291" s="10"/>
    </row>
    <row r="292" spans="2:52" ht="15.75" thickBot="1" x14ac:dyDescent="0.3">
      <c r="B292" s="2"/>
      <c r="C292" s="2"/>
      <c r="D292" s="2"/>
      <c r="E292" s="78">
        <v>63</v>
      </c>
      <c r="F292" s="79"/>
      <c r="G292" s="79"/>
      <c r="H292" s="79"/>
      <c r="I292" s="79">
        <v>63</v>
      </c>
      <c r="J292" s="79"/>
      <c r="K292" s="79"/>
      <c r="L292" s="79"/>
      <c r="M292" s="79">
        <v>63</v>
      </c>
      <c r="N292" s="79"/>
      <c r="O292" s="79"/>
      <c r="P292" s="79"/>
      <c r="Q292" s="79">
        <v>63</v>
      </c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12"/>
      <c r="AP292" s="12"/>
      <c r="AQ292" s="12"/>
      <c r="AR292" s="13"/>
    </row>
    <row r="293" spans="2:52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2:52" ht="15.75" thickBo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2:52" ht="15.75" thickBot="1" x14ac:dyDescent="0.3">
      <c r="B295" s="2"/>
      <c r="C295" s="1">
        <v>36</v>
      </c>
      <c r="D295" s="14" t="s">
        <v>3</v>
      </c>
      <c r="E295" s="14"/>
      <c r="F295" s="14"/>
      <c r="G295" s="66" t="s">
        <v>4</v>
      </c>
      <c r="H295" s="66"/>
      <c r="I295" s="66"/>
      <c r="J295" s="66"/>
      <c r="K295" s="66"/>
      <c r="L295" s="66"/>
      <c r="M295" s="66" t="s">
        <v>5</v>
      </c>
      <c r="N295" s="6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16" t="s">
        <v>6</v>
      </c>
      <c r="AK295" s="17"/>
      <c r="AL295" s="17"/>
      <c r="AM295" s="17"/>
      <c r="AN295" s="2"/>
      <c r="AO295" s="16" t="s">
        <v>7</v>
      </c>
      <c r="AP295" s="17"/>
      <c r="AQ295" s="17"/>
      <c r="AR295" s="17"/>
      <c r="AU295" s="39" t="s">
        <v>20</v>
      </c>
      <c r="AV295" s="40"/>
      <c r="AW295" s="40"/>
      <c r="AX295" s="40"/>
      <c r="AY295" s="40"/>
      <c r="AZ295" s="41"/>
    </row>
    <row r="296" spans="2:52" ht="15.75" thickBot="1" x14ac:dyDescent="0.3">
      <c r="B296" s="2"/>
      <c r="C296" s="2"/>
      <c r="D296" s="22">
        <v>34891</v>
      </c>
      <c r="E296" s="23"/>
      <c r="F296" s="24"/>
      <c r="G296" s="67">
        <v>43114</v>
      </c>
      <c r="H296" s="68"/>
      <c r="I296" s="68"/>
      <c r="J296" s="68"/>
      <c r="K296" s="68"/>
      <c r="L296" s="69"/>
      <c r="M296" s="70">
        <v>4</v>
      </c>
      <c r="N296" s="70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9">
        <v>650</v>
      </c>
      <c r="AK296" s="30"/>
      <c r="AL296" s="30"/>
      <c r="AM296" s="30"/>
      <c r="AN296" s="2"/>
      <c r="AO296" s="42">
        <f>AJ296-E300-I300-M300-Q300-U300-Y300-AC300-AG300-AK300-AO300</f>
        <v>0</v>
      </c>
      <c r="AP296" s="43"/>
      <c r="AQ296" s="43"/>
      <c r="AR296" s="43"/>
      <c r="AU296" s="44" t="s">
        <v>21</v>
      </c>
      <c r="AV296" s="45"/>
      <c r="AW296" s="45"/>
      <c r="AX296" s="45" t="s">
        <v>22</v>
      </c>
      <c r="AY296" s="45"/>
      <c r="AZ296" s="46"/>
    </row>
    <row r="297" spans="2:52" ht="15.75" thickBo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U297" s="47">
        <v>2</v>
      </c>
      <c r="AV297" s="48"/>
      <c r="AW297" s="48"/>
      <c r="AX297" s="48">
        <v>5</v>
      </c>
      <c r="AY297" s="48"/>
      <c r="AZ297" s="49"/>
    </row>
    <row r="298" spans="2:52" ht="15.75" thickBot="1" x14ac:dyDescent="0.3">
      <c r="B298" s="2"/>
      <c r="C298" s="2"/>
      <c r="D298" s="2"/>
      <c r="E298" s="71" t="s">
        <v>8</v>
      </c>
      <c r="F298" s="72"/>
      <c r="G298" s="72"/>
      <c r="H298" s="72"/>
      <c r="I298" s="72" t="s">
        <v>9</v>
      </c>
      <c r="J298" s="72"/>
      <c r="K298" s="72"/>
      <c r="L298" s="72"/>
      <c r="M298" s="72" t="s">
        <v>10</v>
      </c>
      <c r="N298" s="72"/>
      <c r="O298" s="72"/>
      <c r="P298" s="72"/>
      <c r="Q298" s="72" t="s">
        <v>11</v>
      </c>
      <c r="R298" s="72"/>
      <c r="S298" s="72"/>
      <c r="T298" s="72"/>
      <c r="U298" s="72" t="s">
        <v>12</v>
      </c>
      <c r="V298" s="72"/>
      <c r="W298" s="72"/>
      <c r="X298" s="72"/>
      <c r="Y298" s="72" t="s">
        <v>13</v>
      </c>
      <c r="Z298" s="72"/>
      <c r="AA298" s="72"/>
      <c r="AB298" s="72"/>
      <c r="AC298" s="72" t="s">
        <v>14</v>
      </c>
      <c r="AD298" s="72"/>
      <c r="AE298" s="72"/>
      <c r="AF298" s="72"/>
      <c r="AG298" s="72" t="s">
        <v>15</v>
      </c>
      <c r="AH298" s="72"/>
      <c r="AI298" s="72"/>
      <c r="AJ298" s="72"/>
      <c r="AK298" s="72" t="s">
        <v>16</v>
      </c>
      <c r="AL298" s="72"/>
      <c r="AM298" s="72"/>
      <c r="AN298" s="72"/>
      <c r="AO298" s="8" t="s">
        <v>17</v>
      </c>
      <c r="AP298" s="8"/>
      <c r="AQ298" s="8"/>
      <c r="AR298" s="10"/>
    </row>
    <row r="299" spans="2:52" ht="15.75" thickBot="1" x14ac:dyDescent="0.3">
      <c r="B299" s="73" t="s">
        <v>19</v>
      </c>
      <c r="C299" s="74"/>
      <c r="D299" s="75"/>
      <c r="E299" s="76">
        <v>43131</v>
      </c>
      <c r="F299" s="72"/>
      <c r="G299" s="72"/>
      <c r="H299" s="72"/>
      <c r="I299" s="77">
        <v>43146</v>
      </c>
      <c r="J299" s="72"/>
      <c r="K299" s="72"/>
      <c r="L299" s="72"/>
      <c r="M299" s="77">
        <v>43160</v>
      </c>
      <c r="N299" s="72"/>
      <c r="O299" s="72"/>
      <c r="P299" s="72"/>
      <c r="Q299" s="77">
        <v>43174</v>
      </c>
      <c r="R299" s="72"/>
      <c r="S299" s="72"/>
      <c r="T299" s="72"/>
      <c r="U299" s="77"/>
      <c r="V299" s="72"/>
      <c r="W299" s="72"/>
      <c r="X299" s="72"/>
      <c r="Y299" s="77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"/>
      <c r="AP299" s="8"/>
      <c r="AQ299" s="8"/>
      <c r="AR299" s="10"/>
    </row>
    <row r="300" spans="2:52" ht="15.75" thickBot="1" x14ac:dyDescent="0.3">
      <c r="B300" s="2"/>
      <c r="C300" s="2"/>
      <c r="D300" s="2"/>
      <c r="E300" s="78">
        <v>163</v>
      </c>
      <c r="F300" s="79"/>
      <c r="G300" s="79"/>
      <c r="H300" s="79"/>
      <c r="I300" s="79">
        <v>163</v>
      </c>
      <c r="J300" s="79"/>
      <c r="K300" s="79"/>
      <c r="L300" s="79"/>
      <c r="M300" s="79">
        <v>163</v>
      </c>
      <c r="N300" s="79"/>
      <c r="O300" s="79"/>
      <c r="P300" s="79"/>
      <c r="Q300" s="79">
        <v>161</v>
      </c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12"/>
      <c r="AP300" s="12"/>
      <c r="AQ300" s="12"/>
      <c r="AR300" s="13"/>
    </row>
    <row r="301" spans="2:52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2:52" ht="15.75" thickBo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2:52" ht="15.75" thickBot="1" x14ac:dyDescent="0.3">
      <c r="B303" s="2"/>
      <c r="C303" s="2">
        <v>37</v>
      </c>
      <c r="D303" s="14" t="s">
        <v>3</v>
      </c>
      <c r="E303" s="14"/>
      <c r="F303" s="14"/>
      <c r="G303" s="66" t="s">
        <v>4</v>
      </c>
      <c r="H303" s="66"/>
      <c r="I303" s="66"/>
      <c r="J303" s="66"/>
      <c r="K303" s="66"/>
      <c r="L303" s="66"/>
      <c r="M303" s="66" t="s">
        <v>5</v>
      </c>
      <c r="N303" s="6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16" t="s">
        <v>6</v>
      </c>
      <c r="AK303" s="17"/>
      <c r="AL303" s="17"/>
      <c r="AM303" s="17"/>
      <c r="AN303" s="2"/>
      <c r="AO303" s="16" t="s">
        <v>7</v>
      </c>
      <c r="AP303" s="17"/>
      <c r="AQ303" s="17"/>
      <c r="AR303" s="17"/>
      <c r="AU303" s="39" t="s">
        <v>20</v>
      </c>
      <c r="AV303" s="40"/>
      <c r="AW303" s="40"/>
      <c r="AX303" s="40"/>
      <c r="AY303" s="40"/>
      <c r="AZ303" s="41"/>
    </row>
    <row r="304" spans="2:52" ht="15.75" thickBot="1" x14ac:dyDescent="0.3">
      <c r="B304" s="2"/>
      <c r="C304" s="2"/>
      <c r="D304" s="22">
        <v>35019</v>
      </c>
      <c r="E304" s="23"/>
      <c r="F304" s="24"/>
      <c r="G304" s="67">
        <v>43130</v>
      </c>
      <c r="H304" s="68"/>
      <c r="I304" s="68"/>
      <c r="J304" s="68"/>
      <c r="K304" s="68"/>
      <c r="L304" s="69"/>
      <c r="M304" s="70">
        <v>5</v>
      </c>
      <c r="N304" s="70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9">
        <v>970</v>
      </c>
      <c r="AK304" s="30"/>
      <c r="AL304" s="30"/>
      <c r="AM304" s="30"/>
      <c r="AN304" s="2"/>
      <c r="AO304" s="42">
        <f>AJ304-E308-I308-M308-Q308-U308-Y308-AC308-AG308-AK308-AO308</f>
        <v>0</v>
      </c>
      <c r="AP304" s="43"/>
      <c r="AQ304" s="43"/>
      <c r="AR304" s="43"/>
      <c r="AU304" s="44" t="s">
        <v>21</v>
      </c>
      <c r="AV304" s="45"/>
      <c r="AW304" s="45"/>
      <c r="AX304" s="45" t="s">
        <v>22</v>
      </c>
      <c r="AY304" s="45"/>
      <c r="AZ304" s="46"/>
    </row>
    <row r="305" spans="2:52" ht="15.75" thickBo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U305" s="47">
        <v>3</v>
      </c>
      <c r="AV305" s="48"/>
      <c r="AW305" s="48"/>
      <c r="AX305" s="48">
        <v>7</v>
      </c>
      <c r="AY305" s="48"/>
      <c r="AZ305" s="49"/>
    </row>
    <row r="306" spans="2:52" ht="15.75" thickBot="1" x14ac:dyDescent="0.3">
      <c r="B306" s="2"/>
      <c r="C306" s="2"/>
      <c r="D306" s="2"/>
      <c r="E306" s="71" t="s">
        <v>8</v>
      </c>
      <c r="F306" s="72"/>
      <c r="G306" s="72"/>
      <c r="H306" s="72"/>
      <c r="I306" s="72" t="s">
        <v>9</v>
      </c>
      <c r="J306" s="72"/>
      <c r="K306" s="72"/>
      <c r="L306" s="72"/>
      <c r="M306" s="72" t="s">
        <v>10</v>
      </c>
      <c r="N306" s="72"/>
      <c r="O306" s="72"/>
      <c r="P306" s="72"/>
      <c r="Q306" s="72" t="s">
        <v>11</v>
      </c>
      <c r="R306" s="72"/>
      <c r="S306" s="72"/>
      <c r="T306" s="72"/>
      <c r="U306" s="72" t="s">
        <v>12</v>
      </c>
      <c r="V306" s="72"/>
      <c r="W306" s="72"/>
      <c r="X306" s="72"/>
      <c r="Y306" s="72" t="s">
        <v>13</v>
      </c>
      <c r="Z306" s="72"/>
      <c r="AA306" s="72"/>
      <c r="AB306" s="72"/>
      <c r="AC306" s="72" t="s">
        <v>14</v>
      </c>
      <c r="AD306" s="72"/>
      <c r="AE306" s="72"/>
      <c r="AF306" s="72"/>
      <c r="AG306" s="72" t="s">
        <v>15</v>
      </c>
      <c r="AH306" s="72"/>
      <c r="AI306" s="72"/>
      <c r="AJ306" s="72"/>
      <c r="AK306" s="72" t="s">
        <v>16</v>
      </c>
      <c r="AL306" s="72"/>
      <c r="AM306" s="72"/>
      <c r="AN306" s="72"/>
      <c r="AO306" s="8" t="s">
        <v>17</v>
      </c>
      <c r="AP306" s="8"/>
      <c r="AQ306" s="8"/>
      <c r="AR306" s="10"/>
    </row>
    <row r="307" spans="2:52" ht="15.75" thickBot="1" x14ac:dyDescent="0.3">
      <c r="B307" s="73" t="s">
        <v>19</v>
      </c>
      <c r="C307" s="74"/>
      <c r="D307" s="75"/>
      <c r="E307" s="76">
        <v>43146</v>
      </c>
      <c r="F307" s="72"/>
      <c r="G307" s="72"/>
      <c r="H307" s="72"/>
      <c r="I307" s="77">
        <v>43160</v>
      </c>
      <c r="J307" s="72"/>
      <c r="K307" s="72"/>
      <c r="L307" s="72"/>
      <c r="M307" s="77">
        <v>43174</v>
      </c>
      <c r="N307" s="72"/>
      <c r="O307" s="72"/>
      <c r="P307" s="72"/>
      <c r="Q307" s="77">
        <v>43190</v>
      </c>
      <c r="R307" s="72"/>
      <c r="S307" s="72"/>
      <c r="T307" s="72"/>
      <c r="U307" s="77">
        <v>43204</v>
      </c>
      <c r="V307" s="72"/>
      <c r="W307" s="72"/>
      <c r="X307" s="72"/>
      <c r="Y307" s="77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"/>
      <c r="AP307" s="8"/>
      <c r="AQ307" s="8"/>
      <c r="AR307" s="10"/>
    </row>
    <row r="308" spans="2:52" ht="15.75" thickBot="1" x14ac:dyDescent="0.3">
      <c r="B308" s="2"/>
      <c r="C308" s="2"/>
      <c r="D308" s="2"/>
      <c r="E308" s="78">
        <v>194</v>
      </c>
      <c r="F308" s="79"/>
      <c r="G308" s="79"/>
      <c r="H308" s="79"/>
      <c r="I308" s="79">
        <v>194</v>
      </c>
      <c r="J308" s="79"/>
      <c r="K308" s="79"/>
      <c r="L308" s="79"/>
      <c r="M308" s="79">
        <v>194</v>
      </c>
      <c r="N308" s="79"/>
      <c r="O308" s="79"/>
      <c r="P308" s="79"/>
      <c r="Q308" s="79">
        <v>194</v>
      </c>
      <c r="R308" s="79"/>
      <c r="S308" s="79"/>
      <c r="T308" s="79"/>
      <c r="U308" s="79">
        <v>194</v>
      </c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12"/>
      <c r="AP308" s="12"/>
      <c r="AQ308" s="12"/>
      <c r="AR308" s="13"/>
    </row>
    <row r="309" spans="2:52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2:52" ht="15.75" thickBo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2:52" ht="15.75" thickBot="1" x14ac:dyDescent="0.3">
      <c r="B311" s="2"/>
      <c r="C311" s="1">
        <v>38</v>
      </c>
      <c r="D311" s="14" t="s">
        <v>3</v>
      </c>
      <c r="E311" s="14"/>
      <c r="F311" s="14"/>
      <c r="G311" s="66" t="s">
        <v>4</v>
      </c>
      <c r="H311" s="66"/>
      <c r="I311" s="66"/>
      <c r="J311" s="66"/>
      <c r="K311" s="66"/>
      <c r="L311" s="66"/>
      <c r="M311" s="66" t="s">
        <v>5</v>
      </c>
      <c r="N311" s="6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16" t="s">
        <v>6</v>
      </c>
      <c r="AK311" s="17"/>
      <c r="AL311" s="17"/>
      <c r="AM311" s="17"/>
      <c r="AN311" s="2"/>
      <c r="AO311" s="16" t="s">
        <v>7</v>
      </c>
      <c r="AP311" s="17"/>
      <c r="AQ311" s="17"/>
      <c r="AR311" s="17"/>
      <c r="AU311" s="39" t="s">
        <v>20</v>
      </c>
      <c r="AV311" s="40"/>
      <c r="AW311" s="40"/>
      <c r="AX311" s="40"/>
      <c r="AY311" s="40"/>
      <c r="AZ311" s="41"/>
    </row>
    <row r="312" spans="2:52" ht="15.75" thickBot="1" x14ac:dyDescent="0.3">
      <c r="B312" s="2"/>
      <c r="C312" s="2"/>
      <c r="D312" s="22">
        <v>35783</v>
      </c>
      <c r="E312" s="23"/>
      <c r="F312" s="24"/>
      <c r="G312" s="67">
        <v>43203</v>
      </c>
      <c r="H312" s="68"/>
      <c r="I312" s="68"/>
      <c r="J312" s="68"/>
      <c r="K312" s="68"/>
      <c r="L312" s="69"/>
      <c r="M312" s="70">
        <v>4</v>
      </c>
      <c r="N312" s="70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9">
        <v>670</v>
      </c>
      <c r="AK312" s="30"/>
      <c r="AL312" s="30"/>
      <c r="AM312" s="30"/>
      <c r="AN312" s="2"/>
      <c r="AO312" s="42">
        <f>AJ312-E316-I316-M316-Q316-U316-Y316-AC316-AG316-AK316-AO316</f>
        <v>0</v>
      </c>
      <c r="AP312" s="43"/>
      <c r="AQ312" s="43"/>
      <c r="AR312" s="43"/>
      <c r="AU312" s="44" t="s">
        <v>21</v>
      </c>
      <c r="AV312" s="45"/>
      <c r="AW312" s="45"/>
      <c r="AX312" s="45" t="s">
        <v>22</v>
      </c>
      <c r="AY312" s="45"/>
      <c r="AZ312" s="46"/>
    </row>
    <row r="313" spans="2:52" ht="15.75" thickBo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U313" s="47">
        <v>8</v>
      </c>
      <c r="AV313" s="48"/>
      <c r="AW313" s="48"/>
      <c r="AX313" s="48">
        <v>11</v>
      </c>
      <c r="AY313" s="48"/>
      <c r="AZ313" s="49"/>
    </row>
    <row r="314" spans="2:52" ht="15.75" thickBot="1" x14ac:dyDescent="0.3">
      <c r="B314" s="2"/>
      <c r="C314" s="2"/>
      <c r="D314" s="2"/>
      <c r="E314" s="71" t="s">
        <v>8</v>
      </c>
      <c r="F314" s="72"/>
      <c r="G314" s="72"/>
      <c r="H314" s="72"/>
      <c r="I314" s="72" t="s">
        <v>9</v>
      </c>
      <c r="J314" s="72"/>
      <c r="K314" s="72"/>
      <c r="L314" s="72"/>
      <c r="M314" s="72" t="s">
        <v>10</v>
      </c>
      <c r="N314" s="72"/>
      <c r="O314" s="72"/>
      <c r="P314" s="72"/>
      <c r="Q314" s="72" t="s">
        <v>11</v>
      </c>
      <c r="R314" s="72"/>
      <c r="S314" s="72"/>
      <c r="T314" s="72"/>
      <c r="U314" s="72" t="s">
        <v>12</v>
      </c>
      <c r="V314" s="72"/>
      <c r="W314" s="72"/>
      <c r="X314" s="72"/>
      <c r="Y314" s="72" t="s">
        <v>13</v>
      </c>
      <c r="Z314" s="72"/>
      <c r="AA314" s="72"/>
      <c r="AB314" s="72"/>
      <c r="AC314" s="72" t="s">
        <v>14</v>
      </c>
      <c r="AD314" s="72"/>
      <c r="AE314" s="72"/>
      <c r="AF314" s="72"/>
      <c r="AG314" s="72" t="s">
        <v>15</v>
      </c>
      <c r="AH314" s="72"/>
      <c r="AI314" s="72"/>
      <c r="AJ314" s="72"/>
      <c r="AK314" s="72" t="s">
        <v>16</v>
      </c>
      <c r="AL314" s="72"/>
      <c r="AM314" s="72"/>
      <c r="AN314" s="72"/>
      <c r="AO314" s="8" t="s">
        <v>17</v>
      </c>
      <c r="AP314" s="8"/>
      <c r="AQ314" s="8"/>
      <c r="AR314" s="10"/>
    </row>
    <row r="315" spans="2:52" ht="15.75" thickBot="1" x14ac:dyDescent="0.3">
      <c r="B315" s="73" t="s">
        <v>19</v>
      </c>
      <c r="C315" s="74"/>
      <c r="D315" s="75"/>
      <c r="E315" s="76">
        <v>43220</v>
      </c>
      <c r="F315" s="72"/>
      <c r="G315" s="72"/>
      <c r="H315" s="72"/>
      <c r="I315" s="77">
        <v>43235</v>
      </c>
      <c r="J315" s="72"/>
      <c r="K315" s="72"/>
      <c r="L315" s="72"/>
      <c r="M315" s="77">
        <v>43250</v>
      </c>
      <c r="N315" s="72"/>
      <c r="O315" s="72"/>
      <c r="P315" s="72"/>
      <c r="Q315" s="77">
        <v>43266</v>
      </c>
      <c r="R315" s="72"/>
      <c r="S315" s="72"/>
      <c r="T315" s="72"/>
      <c r="U315" s="77"/>
      <c r="V315" s="72"/>
      <c r="W315" s="72"/>
      <c r="X315" s="72"/>
      <c r="Y315" s="77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"/>
      <c r="AP315" s="8"/>
      <c r="AQ315" s="8"/>
      <c r="AR315" s="10"/>
    </row>
    <row r="316" spans="2:52" ht="15.75" thickBot="1" x14ac:dyDescent="0.3">
      <c r="B316" s="2"/>
      <c r="C316" s="2"/>
      <c r="D316" s="2"/>
      <c r="E316" s="78">
        <v>168</v>
      </c>
      <c r="F316" s="79"/>
      <c r="G316" s="79"/>
      <c r="H316" s="79"/>
      <c r="I316" s="79">
        <v>168</v>
      </c>
      <c r="J316" s="79"/>
      <c r="K316" s="79"/>
      <c r="L316" s="79"/>
      <c r="M316" s="79">
        <v>168</v>
      </c>
      <c r="N316" s="79"/>
      <c r="O316" s="79"/>
      <c r="P316" s="79"/>
      <c r="Q316" s="79">
        <v>166</v>
      </c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12"/>
      <c r="AP316" s="12"/>
      <c r="AQ316" s="12"/>
      <c r="AR316" s="13"/>
    </row>
    <row r="317" spans="2:52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2:52" ht="15.75" thickBo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2:52" ht="15.75" thickBot="1" x14ac:dyDescent="0.3">
      <c r="B319" s="2"/>
      <c r="C319" s="1">
        <v>39</v>
      </c>
      <c r="D319" s="14" t="s">
        <v>3</v>
      </c>
      <c r="E319" s="14"/>
      <c r="F319" s="14"/>
      <c r="G319" s="66" t="s">
        <v>4</v>
      </c>
      <c r="H319" s="66"/>
      <c r="I319" s="66"/>
      <c r="J319" s="66"/>
      <c r="K319" s="66"/>
      <c r="L319" s="66"/>
      <c r="M319" s="66" t="s">
        <v>5</v>
      </c>
      <c r="N319" s="6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16" t="s">
        <v>6</v>
      </c>
      <c r="AK319" s="17"/>
      <c r="AL319" s="17"/>
      <c r="AM319" s="17"/>
      <c r="AN319" s="2"/>
      <c r="AO319" s="16" t="s">
        <v>7</v>
      </c>
      <c r="AP319" s="17"/>
      <c r="AQ319" s="17"/>
      <c r="AR319" s="17"/>
      <c r="AU319" s="39" t="s">
        <v>20</v>
      </c>
      <c r="AV319" s="40"/>
      <c r="AW319" s="40"/>
      <c r="AX319" s="40"/>
      <c r="AY319" s="40"/>
      <c r="AZ319" s="41"/>
    </row>
    <row r="320" spans="2:52" ht="15.75" thickBot="1" x14ac:dyDescent="0.3">
      <c r="B320" s="2"/>
      <c r="C320" s="2"/>
      <c r="D320" s="22">
        <v>35795</v>
      </c>
      <c r="E320" s="23"/>
      <c r="F320" s="24"/>
      <c r="G320" s="67">
        <v>43204</v>
      </c>
      <c r="H320" s="68"/>
      <c r="I320" s="68"/>
      <c r="J320" s="68"/>
      <c r="K320" s="68"/>
      <c r="L320" s="69"/>
      <c r="M320" s="70">
        <v>4</v>
      </c>
      <c r="N320" s="70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9">
        <v>295</v>
      </c>
      <c r="AK320" s="30"/>
      <c r="AL320" s="30"/>
      <c r="AM320" s="30"/>
      <c r="AN320" s="2"/>
      <c r="AO320" s="42">
        <f>AJ320-E324-I324-M324-Q324-U324-Y324-AC324-AG324-AK324-AO324</f>
        <v>0</v>
      </c>
      <c r="AP320" s="43"/>
      <c r="AQ320" s="43"/>
      <c r="AR320" s="43"/>
      <c r="AU320" s="44" t="s">
        <v>21</v>
      </c>
      <c r="AV320" s="45"/>
      <c r="AW320" s="45"/>
      <c r="AX320" s="45" t="s">
        <v>22</v>
      </c>
      <c r="AY320" s="45"/>
      <c r="AZ320" s="46"/>
    </row>
    <row r="321" spans="2:52" ht="15.75" thickBo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U321" s="47">
        <v>8</v>
      </c>
      <c r="AV321" s="48"/>
      <c r="AW321" s="48"/>
      <c r="AX321" s="48">
        <v>11</v>
      </c>
      <c r="AY321" s="48"/>
      <c r="AZ321" s="49"/>
    </row>
    <row r="322" spans="2:52" ht="15.75" thickBot="1" x14ac:dyDescent="0.3">
      <c r="B322" s="2"/>
      <c r="C322" s="2"/>
      <c r="D322" s="2"/>
      <c r="E322" s="71" t="s">
        <v>8</v>
      </c>
      <c r="F322" s="72"/>
      <c r="G322" s="72"/>
      <c r="H322" s="72"/>
      <c r="I322" s="72" t="s">
        <v>9</v>
      </c>
      <c r="J322" s="72"/>
      <c r="K322" s="72"/>
      <c r="L322" s="72"/>
      <c r="M322" s="72" t="s">
        <v>10</v>
      </c>
      <c r="N322" s="72"/>
      <c r="O322" s="72"/>
      <c r="P322" s="72"/>
      <c r="Q322" s="72" t="s">
        <v>11</v>
      </c>
      <c r="R322" s="72"/>
      <c r="S322" s="72"/>
      <c r="T322" s="72"/>
      <c r="U322" s="72" t="s">
        <v>12</v>
      </c>
      <c r="V322" s="72"/>
      <c r="W322" s="72"/>
      <c r="X322" s="72"/>
      <c r="Y322" s="72" t="s">
        <v>13</v>
      </c>
      <c r="Z322" s="72"/>
      <c r="AA322" s="72"/>
      <c r="AB322" s="72"/>
      <c r="AC322" s="72" t="s">
        <v>14</v>
      </c>
      <c r="AD322" s="72"/>
      <c r="AE322" s="72"/>
      <c r="AF322" s="72"/>
      <c r="AG322" s="72" t="s">
        <v>15</v>
      </c>
      <c r="AH322" s="72"/>
      <c r="AI322" s="72"/>
      <c r="AJ322" s="72"/>
      <c r="AK322" s="72" t="s">
        <v>16</v>
      </c>
      <c r="AL322" s="72"/>
      <c r="AM322" s="72"/>
      <c r="AN322" s="72"/>
      <c r="AO322" s="8" t="s">
        <v>17</v>
      </c>
      <c r="AP322" s="8"/>
      <c r="AQ322" s="8"/>
      <c r="AR322" s="10"/>
    </row>
    <row r="323" spans="2:52" ht="15.75" thickBot="1" x14ac:dyDescent="0.3">
      <c r="B323" s="73" t="s">
        <v>19</v>
      </c>
      <c r="C323" s="74"/>
      <c r="D323" s="75"/>
      <c r="E323" s="76">
        <v>43220</v>
      </c>
      <c r="F323" s="72"/>
      <c r="G323" s="72"/>
      <c r="H323" s="72"/>
      <c r="I323" s="77">
        <v>43235</v>
      </c>
      <c r="J323" s="72"/>
      <c r="K323" s="72"/>
      <c r="L323" s="72"/>
      <c r="M323" s="77">
        <v>43250</v>
      </c>
      <c r="N323" s="72"/>
      <c r="O323" s="72"/>
      <c r="P323" s="72"/>
      <c r="Q323" s="77">
        <v>43266</v>
      </c>
      <c r="R323" s="72"/>
      <c r="S323" s="72"/>
      <c r="T323" s="72"/>
      <c r="U323" s="77"/>
      <c r="V323" s="72"/>
      <c r="W323" s="72"/>
      <c r="X323" s="72"/>
      <c r="Y323" s="77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"/>
      <c r="AP323" s="8"/>
      <c r="AQ323" s="8"/>
      <c r="AR323" s="10"/>
    </row>
    <row r="324" spans="2:52" ht="15.75" thickBot="1" x14ac:dyDescent="0.3">
      <c r="B324" s="2"/>
      <c r="C324" s="2"/>
      <c r="D324" s="2"/>
      <c r="E324" s="78">
        <v>74</v>
      </c>
      <c r="F324" s="79"/>
      <c r="G324" s="79"/>
      <c r="H324" s="79"/>
      <c r="I324" s="79">
        <v>74</v>
      </c>
      <c r="J324" s="79"/>
      <c r="K324" s="79"/>
      <c r="L324" s="79"/>
      <c r="M324" s="79">
        <v>74</v>
      </c>
      <c r="N324" s="79"/>
      <c r="O324" s="79"/>
      <c r="P324" s="79"/>
      <c r="Q324" s="79">
        <v>73</v>
      </c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12"/>
      <c r="AP324" s="12"/>
      <c r="AQ324" s="12"/>
      <c r="AR324" s="13"/>
    </row>
    <row r="325" spans="2:52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2:52" ht="15.75" thickBo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2:52" ht="15.75" thickBot="1" x14ac:dyDescent="0.3">
      <c r="B327" s="2"/>
      <c r="C327" s="1">
        <v>40</v>
      </c>
      <c r="D327" s="14" t="s">
        <v>3</v>
      </c>
      <c r="E327" s="14"/>
      <c r="F327" s="14"/>
      <c r="G327" s="66" t="s">
        <v>4</v>
      </c>
      <c r="H327" s="66"/>
      <c r="I327" s="66"/>
      <c r="J327" s="66"/>
      <c r="K327" s="66"/>
      <c r="L327" s="66"/>
      <c r="M327" s="66" t="s">
        <v>5</v>
      </c>
      <c r="N327" s="6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16" t="s">
        <v>6</v>
      </c>
      <c r="AK327" s="17"/>
      <c r="AL327" s="17"/>
      <c r="AM327" s="17"/>
      <c r="AN327" s="2"/>
      <c r="AO327" s="16" t="s">
        <v>7</v>
      </c>
      <c r="AP327" s="17"/>
      <c r="AQ327" s="17"/>
      <c r="AR327" s="17"/>
      <c r="AU327" s="39" t="s">
        <v>20</v>
      </c>
      <c r="AV327" s="40"/>
      <c r="AW327" s="40"/>
      <c r="AX327" s="40"/>
      <c r="AY327" s="40"/>
      <c r="AZ327" s="41"/>
    </row>
    <row r="328" spans="2:52" ht="15.75" thickBot="1" x14ac:dyDescent="0.3">
      <c r="B328" s="2"/>
      <c r="C328" s="2"/>
      <c r="D328" s="22">
        <v>75</v>
      </c>
      <c r="E328" s="23"/>
      <c r="F328" s="24"/>
      <c r="G328" s="67">
        <v>43225</v>
      </c>
      <c r="H328" s="68"/>
      <c r="I328" s="68"/>
      <c r="J328" s="68"/>
      <c r="K328" s="68"/>
      <c r="L328" s="69"/>
      <c r="M328" s="70">
        <v>4</v>
      </c>
      <c r="N328" s="70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9">
        <v>399</v>
      </c>
      <c r="AK328" s="30"/>
      <c r="AL328" s="30"/>
      <c r="AM328" s="30"/>
      <c r="AN328" s="2"/>
      <c r="AO328" s="42">
        <f>AJ328-E332-I332-M332-Q332-U332-Y332-AC332-AG332-AK332-AO332</f>
        <v>0</v>
      </c>
      <c r="AP328" s="43"/>
      <c r="AQ328" s="43"/>
      <c r="AR328" s="43"/>
      <c r="AU328" s="44" t="s">
        <v>21</v>
      </c>
      <c r="AV328" s="45"/>
      <c r="AW328" s="45"/>
      <c r="AX328" s="45" t="s">
        <v>22</v>
      </c>
      <c r="AY328" s="45"/>
      <c r="AZ328" s="46"/>
    </row>
    <row r="329" spans="2:52" ht="15.75" thickBo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U329" s="47">
        <v>9</v>
      </c>
      <c r="AV329" s="48"/>
      <c r="AW329" s="48"/>
      <c r="AX329" s="48">
        <v>12</v>
      </c>
      <c r="AY329" s="48"/>
      <c r="AZ329" s="49"/>
    </row>
    <row r="330" spans="2:52" ht="15.75" thickBot="1" x14ac:dyDescent="0.3">
      <c r="B330" s="2"/>
      <c r="C330" s="2"/>
      <c r="D330" s="2"/>
      <c r="E330" s="71" t="s">
        <v>8</v>
      </c>
      <c r="F330" s="72"/>
      <c r="G330" s="72"/>
      <c r="H330" s="72"/>
      <c r="I330" s="72" t="s">
        <v>9</v>
      </c>
      <c r="J330" s="72"/>
      <c r="K330" s="72"/>
      <c r="L330" s="72"/>
      <c r="M330" s="72" t="s">
        <v>10</v>
      </c>
      <c r="N330" s="72"/>
      <c r="O330" s="72"/>
      <c r="P330" s="72"/>
      <c r="Q330" s="72" t="s">
        <v>11</v>
      </c>
      <c r="R330" s="72"/>
      <c r="S330" s="72"/>
      <c r="T330" s="72"/>
      <c r="U330" s="72" t="s">
        <v>12</v>
      </c>
      <c r="V330" s="72"/>
      <c r="W330" s="72"/>
      <c r="X330" s="72"/>
      <c r="Y330" s="72" t="s">
        <v>13</v>
      </c>
      <c r="Z330" s="72"/>
      <c r="AA330" s="72"/>
      <c r="AB330" s="72"/>
      <c r="AC330" s="72" t="s">
        <v>14</v>
      </c>
      <c r="AD330" s="72"/>
      <c r="AE330" s="72"/>
      <c r="AF330" s="72"/>
      <c r="AG330" s="72" t="s">
        <v>15</v>
      </c>
      <c r="AH330" s="72"/>
      <c r="AI330" s="72"/>
      <c r="AJ330" s="72"/>
      <c r="AK330" s="72" t="s">
        <v>16</v>
      </c>
      <c r="AL330" s="72"/>
      <c r="AM330" s="72"/>
      <c r="AN330" s="72"/>
      <c r="AO330" s="8" t="s">
        <v>17</v>
      </c>
      <c r="AP330" s="8"/>
      <c r="AQ330" s="8"/>
      <c r="AR330" s="10"/>
    </row>
    <row r="331" spans="2:52" ht="15.75" thickBot="1" x14ac:dyDescent="0.3">
      <c r="B331" s="73" t="s">
        <v>19</v>
      </c>
      <c r="C331" s="74"/>
      <c r="D331" s="75"/>
      <c r="E331" s="76">
        <v>43235</v>
      </c>
      <c r="F331" s="72"/>
      <c r="G331" s="72"/>
      <c r="H331" s="72"/>
      <c r="I331" s="77">
        <v>43250</v>
      </c>
      <c r="J331" s="72"/>
      <c r="K331" s="72"/>
      <c r="L331" s="72"/>
      <c r="M331" s="77">
        <v>43266</v>
      </c>
      <c r="N331" s="72"/>
      <c r="O331" s="72"/>
      <c r="P331" s="72"/>
      <c r="Q331" s="77">
        <v>43281</v>
      </c>
      <c r="R331" s="72"/>
      <c r="S331" s="72"/>
      <c r="T331" s="72"/>
      <c r="U331" s="77"/>
      <c r="V331" s="72"/>
      <c r="W331" s="72"/>
      <c r="X331" s="72"/>
      <c r="Y331" s="77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"/>
      <c r="AP331" s="8"/>
      <c r="AQ331" s="8"/>
      <c r="AR331" s="10"/>
    </row>
    <row r="332" spans="2:52" ht="15.75" thickBot="1" x14ac:dyDescent="0.3">
      <c r="B332" s="2"/>
      <c r="C332" s="2"/>
      <c r="D332" s="2"/>
      <c r="E332" s="78">
        <v>99</v>
      </c>
      <c r="F332" s="79"/>
      <c r="G332" s="79"/>
      <c r="H332" s="79"/>
      <c r="I332" s="79">
        <v>99</v>
      </c>
      <c r="J332" s="79"/>
      <c r="K332" s="79"/>
      <c r="L332" s="79"/>
      <c r="M332" s="79">
        <v>99</v>
      </c>
      <c r="N332" s="79"/>
      <c r="O332" s="79"/>
      <c r="P332" s="79"/>
      <c r="Q332" s="79">
        <v>102</v>
      </c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12"/>
      <c r="AP332" s="12"/>
      <c r="AQ332" s="12"/>
      <c r="AR332" s="13"/>
    </row>
    <row r="333" spans="2:52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2:52" ht="15.75" thickBo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2:52" ht="15.75" thickBot="1" x14ac:dyDescent="0.3">
      <c r="B335" s="2"/>
      <c r="C335" s="1">
        <v>41</v>
      </c>
      <c r="D335" s="14" t="s">
        <v>3</v>
      </c>
      <c r="E335" s="14"/>
      <c r="F335" s="14"/>
      <c r="G335" s="66" t="s">
        <v>4</v>
      </c>
      <c r="H335" s="66"/>
      <c r="I335" s="66"/>
      <c r="J335" s="66"/>
      <c r="K335" s="66"/>
      <c r="L335" s="66"/>
      <c r="M335" s="66" t="s">
        <v>5</v>
      </c>
      <c r="N335" s="6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16" t="s">
        <v>6</v>
      </c>
      <c r="AK335" s="17"/>
      <c r="AL335" s="17"/>
      <c r="AM335" s="17"/>
      <c r="AN335" s="2"/>
      <c r="AO335" s="16" t="s">
        <v>7</v>
      </c>
      <c r="AP335" s="17"/>
      <c r="AQ335" s="17"/>
      <c r="AR335" s="17"/>
      <c r="AU335" s="39" t="s">
        <v>20</v>
      </c>
      <c r="AV335" s="40"/>
      <c r="AW335" s="40"/>
      <c r="AX335" s="40"/>
      <c r="AY335" s="40"/>
      <c r="AZ335" s="41"/>
    </row>
    <row r="336" spans="2:52" ht="15.75" thickBot="1" x14ac:dyDescent="0.3">
      <c r="B336" s="2"/>
      <c r="C336" s="2"/>
      <c r="D336" s="22">
        <v>642</v>
      </c>
      <c r="E336" s="23"/>
      <c r="F336" s="24"/>
      <c r="G336" s="67">
        <v>43269</v>
      </c>
      <c r="H336" s="68"/>
      <c r="I336" s="68"/>
      <c r="J336" s="68"/>
      <c r="K336" s="68"/>
      <c r="L336" s="69"/>
      <c r="M336" s="70">
        <v>4</v>
      </c>
      <c r="N336" s="70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9">
        <v>420</v>
      </c>
      <c r="AK336" s="30"/>
      <c r="AL336" s="30"/>
      <c r="AM336" s="30"/>
      <c r="AN336" s="2"/>
      <c r="AO336" s="42">
        <f>AJ336-E340-I340-M340-Q340-U340-Y340-AC340-AG340-AK340-AO340</f>
        <v>0</v>
      </c>
      <c r="AP336" s="43"/>
      <c r="AQ336" s="43"/>
      <c r="AR336" s="43"/>
      <c r="AU336" s="44" t="s">
        <v>21</v>
      </c>
      <c r="AV336" s="45"/>
      <c r="AW336" s="45"/>
      <c r="AX336" s="45" t="s">
        <v>22</v>
      </c>
      <c r="AY336" s="45"/>
      <c r="AZ336" s="46"/>
    </row>
    <row r="337" spans="2:52" ht="15.75" thickBo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U337" s="47">
        <v>12</v>
      </c>
      <c r="AV337" s="48"/>
      <c r="AW337" s="48"/>
      <c r="AX337" s="48">
        <v>15</v>
      </c>
      <c r="AY337" s="48"/>
      <c r="AZ337" s="49"/>
    </row>
    <row r="338" spans="2:52" ht="15.75" thickBot="1" x14ac:dyDescent="0.3">
      <c r="B338" s="2"/>
      <c r="C338" s="2"/>
      <c r="D338" s="2"/>
      <c r="E338" s="71" t="s">
        <v>8</v>
      </c>
      <c r="F338" s="72"/>
      <c r="G338" s="72"/>
      <c r="H338" s="72"/>
      <c r="I338" s="72" t="s">
        <v>9</v>
      </c>
      <c r="J338" s="72"/>
      <c r="K338" s="72"/>
      <c r="L338" s="72"/>
      <c r="M338" s="72" t="s">
        <v>10</v>
      </c>
      <c r="N338" s="72"/>
      <c r="O338" s="72"/>
      <c r="P338" s="72"/>
      <c r="Q338" s="72" t="s">
        <v>11</v>
      </c>
      <c r="R338" s="72"/>
      <c r="S338" s="72"/>
      <c r="T338" s="72"/>
      <c r="U338" s="72" t="s">
        <v>12</v>
      </c>
      <c r="V338" s="72"/>
      <c r="W338" s="72"/>
      <c r="X338" s="72"/>
      <c r="Y338" s="72" t="s">
        <v>13</v>
      </c>
      <c r="Z338" s="72"/>
      <c r="AA338" s="72"/>
      <c r="AB338" s="72"/>
      <c r="AC338" s="72" t="s">
        <v>14</v>
      </c>
      <c r="AD338" s="72"/>
      <c r="AE338" s="72"/>
      <c r="AF338" s="72"/>
      <c r="AG338" s="72" t="s">
        <v>15</v>
      </c>
      <c r="AH338" s="72"/>
      <c r="AI338" s="72"/>
      <c r="AJ338" s="72"/>
      <c r="AK338" s="72" t="s">
        <v>16</v>
      </c>
      <c r="AL338" s="72"/>
      <c r="AM338" s="72"/>
      <c r="AN338" s="72"/>
      <c r="AO338" s="8" t="s">
        <v>17</v>
      </c>
      <c r="AP338" s="8"/>
      <c r="AQ338" s="8"/>
      <c r="AR338" s="10"/>
    </row>
    <row r="339" spans="2:52" ht="15.75" thickBot="1" x14ac:dyDescent="0.3">
      <c r="B339" s="73" t="s">
        <v>19</v>
      </c>
      <c r="C339" s="74"/>
      <c r="D339" s="75"/>
      <c r="E339" s="76">
        <v>43281</v>
      </c>
      <c r="F339" s="72"/>
      <c r="G339" s="72"/>
      <c r="H339" s="72"/>
      <c r="I339" s="77">
        <v>43296</v>
      </c>
      <c r="J339" s="72"/>
      <c r="K339" s="72"/>
      <c r="L339" s="72"/>
      <c r="M339" s="77">
        <v>43311</v>
      </c>
      <c r="N339" s="72"/>
      <c r="O339" s="72"/>
      <c r="P339" s="72"/>
      <c r="Q339" s="77">
        <v>43326</v>
      </c>
      <c r="R339" s="72"/>
      <c r="S339" s="72"/>
      <c r="T339" s="72"/>
      <c r="U339" s="77"/>
      <c r="V339" s="72"/>
      <c r="W339" s="72"/>
      <c r="X339" s="72"/>
      <c r="Y339" s="77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"/>
      <c r="AP339" s="8"/>
      <c r="AQ339" s="8"/>
      <c r="AR339" s="10"/>
    </row>
    <row r="340" spans="2:52" ht="15.75" thickBot="1" x14ac:dyDescent="0.3">
      <c r="B340" s="2"/>
      <c r="C340" s="2"/>
      <c r="D340" s="2"/>
      <c r="E340" s="78">
        <v>103</v>
      </c>
      <c r="F340" s="79"/>
      <c r="G340" s="79"/>
      <c r="H340" s="79"/>
      <c r="I340" s="79">
        <v>105</v>
      </c>
      <c r="J340" s="79"/>
      <c r="K340" s="79"/>
      <c r="L340" s="79"/>
      <c r="M340" s="79">
        <v>105</v>
      </c>
      <c r="N340" s="79"/>
      <c r="O340" s="79"/>
      <c r="P340" s="79"/>
      <c r="Q340" s="79">
        <v>107</v>
      </c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12"/>
      <c r="AP340" s="12"/>
      <c r="AQ340" s="12"/>
      <c r="AR340" s="13"/>
    </row>
    <row r="341" spans="2:52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2:52" ht="15.75" thickBo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2:52" ht="15.75" thickBot="1" x14ac:dyDescent="0.3">
      <c r="B343" s="2"/>
      <c r="C343" s="1">
        <v>42</v>
      </c>
      <c r="D343" s="14" t="s">
        <v>3</v>
      </c>
      <c r="E343" s="14"/>
      <c r="F343" s="14"/>
      <c r="G343" s="66" t="s">
        <v>4</v>
      </c>
      <c r="H343" s="66"/>
      <c r="I343" s="66"/>
      <c r="J343" s="66"/>
      <c r="K343" s="66"/>
      <c r="L343" s="66"/>
      <c r="M343" s="66" t="s">
        <v>5</v>
      </c>
      <c r="N343" s="6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16" t="s">
        <v>6</v>
      </c>
      <c r="AK343" s="17"/>
      <c r="AL343" s="17"/>
      <c r="AM343" s="17"/>
      <c r="AN343" s="2"/>
      <c r="AO343" s="16" t="s">
        <v>7</v>
      </c>
      <c r="AP343" s="17"/>
      <c r="AQ343" s="17"/>
      <c r="AR343" s="17"/>
      <c r="AU343" s="39" t="s">
        <v>20</v>
      </c>
      <c r="AV343" s="40"/>
      <c r="AW343" s="40"/>
      <c r="AX343" s="40"/>
      <c r="AY343" s="40"/>
      <c r="AZ343" s="41"/>
    </row>
    <row r="344" spans="2:52" ht="15.75" thickBot="1" x14ac:dyDescent="0.3">
      <c r="B344" s="2"/>
      <c r="C344" s="2"/>
      <c r="D344" s="22">
        <v>742</v>
      </c>
      <c r="E344" s="23"/>
      <c r="F344" s="24"/>
      <c r="G344" s="67">
        <v>43280</v>
      </c>
      <c r="H344" s="68"/>
      <c r="I344" s="68"/>
      <c r="J344" s="68"/>
      <c r="K344" s="68"/>
      <c r="L344" s="69"/>
      <c r="M344" s="70">
        <v>4</v>
      </c>
      <c r="N344" s="70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9">
        <v>640</v>
      </c>
      <c r="AK344" s="30"/>
      <c r="AL344" s="30"/>
      <c r="AM344" s="30"/>
      <c r="AN344" s="2"/>
      <c r="AO344" s="42">
        <f>AJ344-E348-I348-M348-Q348-U348-Y348-AC348-AG348-AK348-AO348</f>
        <v>0</v>
      </c>
      <c r="AP344" s="43"/>
      <c r="AQ344" s="43"/>
      <c r="AR344" s="43"/>
      <c r="AU344" s="44" t="s">
        <v>21</v>
      </c>
      <c r="AV344" s="45"/>
      <c r="AW344" s="45"/>
      <c r="AX344" s="45" t="s">
        <v>22</v>
      </c>
      <c r="AY344" s="45"/>
      <c r="AZ344" s="46"/>
    </row>
    <row r="345" spans="2:52" ht="15.75" thickBo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U345" s="47">
        <v>13</v>
      </c>
      <c r="AV345" s="48"/>
      <c r="AW345" s="48"/>
      <c r="AX345" s="48">
        <v>16</v>
      </c>
      <c r="AY345" s="48"/>
      <c r="AZ345" s="49"/>
    </row>
    <row r="346" spans="2:52" ht="15.75" thickBot="1" x14ac:dyDescent="0.3">
      <c r="B346" s="2"/>
      <c r="C346" s="2"/>
      <c r="D346" s="2"/>
      <c r="E346" s="71" t="s">
        <v>8</v>
      </c>
      <c r="F346" s="72"/>
      <c r="G346" s="72"/>
      <c r="H346" s="72"/>
      <c r="I346" s="72" t="s">
        <v>9</v>
      </c>
      <c r="J346" s="72"/>
      <c r="K346" s="72"/>
      <c r="L346" s="72"/>
      <c r="M346" s="72" t="s">
        <v>10</v>
      </c>
      <c r="N346" s="72"/>
      <c r="O346" s="72"/>
      <c r="P346" s="72"/>
      <c r="Q346" s="72" t="s">
        <v>11</v>
      </c>
      <c r="R346" s="72"/>
      <c r="S346" s="72"/>
      <c r="T346" s="72"/>
      <c r="U346" s="72" t="s">
        <v>12</v>
      </c>
      <c r="V346" s="72"/>
      <c r="W346" s="72"/>
      <c r="X346" s="72"/>
      <c r="Y346" s="72" t="s">
        <v>13</v>
      </c>
      <c r="Z346" s="72"/>
      <c r="AA346" s="72"/>
      <c r="AB346" s="72"/>
      <c r="AC346" s="72" t="s">
        <v>14</v>
      </c>
      <c r="AD346" s="72"/>
      <c r="AE346" s="72"/>
      <c r="AF346" s="72"/>
      <c r="AG346" s="72" t="s">
        <v>15</v>
      </c>
      <c r="AH346" s="72"/>
      <c r="AI346" s="72"/>
      <c r="AJ346" s="72"/>
      <c r="AK346" s="72" t="s">
        <v>16</v>
      </c>
      <c r="AL346" s="72"/>
      <c r="AM346" s="72"/>
      <c r="AN346" s="72"/>
      <c r="AO346" s="8" t="s">
        <v>17</v>
      </c>
      <c r="AP346" s="8"/>
      <c r="AQ346" s="8"/>
      <c r="AR346" s="10"/>
    </row>
    <row r="347" spans="2:52" ht="15.75" thickBot="1" x14ac:dyDescent="0.3">
      <c r="B347" s="73" t="s">
        <v>19</v>
      </c>
      <c r="C347" s="74"/>
      <c r="D347" s="75"/>
      <c r="E347" s="76">
        <v>43296</v>
      </c>
      <c r="F347" s="72"/>
      <c r="G347" s="72"/>
      <c r="H347" s="72"/>
      <c r="I347" s="77">
        <v>43311</v>
      </c>
      <c r="J347" s="72"/>
      <c r="K347" s="72"/>
      <c r="L347" s="72"/>
      <c r="M347" s="77">
        <v>43326</v>
      </c>
      <c r="N347" s="72"/>
      <c r="O347" s="72"/>
      <c r="P347" s="72"/>
      <c r="Q347" s="77">
        <v>43342</v>
      </c>
      <c r="R347" s="72"/>
      <c r="S347" s="72"/>
      <c r="T347" s="72"/>
      <c r="U347" s="77"/>
      <c r="V347" s="72"/>
      <c r="W347" s="72"/>
      <c r="X347" s="72"/>
      <c r="Y347" s="77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"/>
      <c r="AP347" s="8"/>
      <c r="AQ347" s="8"/>
      <c r="AR347" s="10"/>
    </row>
    <row r="348" spans="2:52" ht="15.75" thickBot="1" x14ac:dyDescent="0.3">
      <c r="B348" s="2"/>
      <c r="C348" s="2"/>
      <c r="D348" s="2"/>
      <c r="E348" s="78">
        <v>160</v>
      </c>
      <c r="F348" s="79"/>
      <c r="G348" s="79"/>
      <c r="H348" s="79"/>
      <c r="I348" s="79">
        <v>160</v>
      </c>
      <c r="J348" s="79"/>
      <c r="K348" s="79"/>
      <c r="L348" s="79"/>
      <c r="M348" s="79">
        <v>160</v>
      </c>
      <c r="N348" s="79"/>
      <c r="O348" s="79"/>
      <c r="P348" s="79"/>
      <c r="Q348" s="79">
        <v>160</v>
      </c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12"/>
      <c r="AP348" s="12"/>
      <c r="AQ348" s="12"/>
      <c r="AR348" s="13"/>
    </row>
    <row r="349" spans="2:52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2:52" ht="15.75" thickBo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2:52" ht="15.75" thickBot="1" x14ac:dyDescent="0.3">
      <c r="B351" s="2"/>
      <c r="C351" s="1">
        <v>43</v>
      </c>
      <c r="D351" s="14" t="s">
        <v>3</v>
      </c>
      <c r="E351" s="14"/>
      <c r="F351" s="14"/>
      <c r="G351" s="66" t="s">
        <v>4</v>
      </c>
      <c r="H351" s="66"/>
      <c r="I351" s="66"/>
      <c r="J351" s="66"/>
      <c r="K351" s="66"/>
      <c r="L351" s="66"/>
      <c r="M351" s="66" t="s">
        <v>5</v>
      </c>
      <c r="N351" s="6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16" t="s">
        <v>6</v>
      </c>
      <c r="AK351" s="17"/>
      <c r="AL351" s="17"/>
      <c r="AM351" s="17"/>
      <c r="AN351" s="2"/>
      <c r="AO351" s="16" t="s">
        <v>7</v>
      </c>
      <c r="AP351" s="17"/>
      <c r="AQ351" s="17"/>
      <c r="AR351" s="17"/>
      <c r="AU351" s="39" t="s">
        <v>20</v>
      </c>
      <c r="AV351" s="40"/>
      <c r="AW351" s="40"/>
      <c r="AX351" s="40"/>
      <c r="AY351" s="40"/>
      <c r="AZ351" s="41"/>
    </row>
    <row r="352" spans="2:52" ht="15.75" thickBot="1" x14ac:dyDescent="0.3">
      <c r="B352" s="2"/>
      <c r="C352" s="2"/>
      <c r="D352" s="22">
        <v>762</v>
      </c>
      <c r="E352" s="23"/>
      <c r="F352" s="24"/>
      <c r="G352" s="67">
        <v>43282</v>
      </c>
      <c r="H352" s="68"/>
      <c r="I352" s="68"/>
      <c r="J352" s="68"/>
      <c r="K352" s="68"/>
      <c r="L352" s="69"/>
      <c r="M352" s="70">
        <v>3</v>
      </c>
      <c r="N352" s="70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9">
        <v>250</v>
      </c>
      <c r="AK352" s="30"/>
      <c r="AL352" s="30"/>
      <c r="AM352" s="30"/>
      <c r="AN352" s="2"/>
      <c r="AO352" s="42">
        <f>AJ352-E356-I356-M356-Q356-U356-Y356-AC356-AG356-AK356-AO356</f>
        <v>0</v>
      </c>
      <c r="AP352" s="43"/>
      <c r="AQ352" s="43"/>
      <c r="AR352" s="43"/>
      <c r="AU352" s="44" t="s">
        <v>21</v>
      </c>
      <c r="AV352" s="45"/>
      <c r="AW352" s="45"/>
      <c r="AX352" s="45" t="s">
        <v>22</v>
      </c>
      <c r="AY352" s="45"/>
      <c r="AZ352" s="46"/>
    </row>
    <row r="353" spans="2:67" ht="15.75" thickBo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U353" s="47">
        <v>13</v>
      </c>
      <c r="AV353" s="48"/>
      <c r="AW353" s="48"/>
      <c r="AX353" s="48">
        <v>15</v>
      </c>
      <c r="AY353" s="48"/>
      <c r="AZ353" s="49"/>
      <c r="BO353">
        <v>190</v>
      </c>
    </row>
    <row r="354" spans="2:67" ht="15.75" thickBot="1" x14ac:dyDescent="0.3">
      <c r="B354" s="2"/>
      <c r="C354" s="2"/>
      <c r="D354" s="2"/>
      <c r="E354" s="71" t="s">
        <v>8</v>
      </c>
      <c r="F354" s="72"/>
      <c r="G354" s="72"/>
      <c r="H354" s="72"/>
      <c r="I354" s="72" t="s">
        <v>9</v>
      </c>
      <c r="J354" s="72"/>
      <c r="K354" s="72"/>
      <c r="L354" s="72"/>
      <c r="M354" s="72" t="s">
        <v>10</v>
      </c>
      <c r="N354" s="72"/>
      <c r="O354" s="72"/>
      <c r="P354" s="72"/>
      <c r="Q354" s="72" t="s">
        <v>11</v>
      </c>
      <c r="R354" s="72"/>
      <c r="S354" s="72"/>
      <c r="T354" s="72"/>
      <c r="U354" s="72" t="s">
        <v>12</v>
      </c>
      <c r="V354" s="72"/>
      <c r="W354" s="72"/>
      <c r="X354" s="72"/>
      <c r="Y354" s="72" t="s">
        <v>13</v>
      </c>
      <c r="Z354" s="72"/>
      <c r="AA354" s="72"/>
      <c r="AB354" s="72"/>
      <c r="AC354" s="72" t="s">
        <v>14</v>
      </c>
      <c r="AD354" s="72"/>
      <c r="AE354" s="72"/>
      <c r="AF354" s="72"/>
      <c r="AG354" s="72" t="s">
        <v>15</v>
      </c>
      <c r="AH354" s="72"/>
      <c r="AI354" s="72"/>
      <c r="AJ354" s="72"/>
      <c r="AK354" s="72" t="s">
        <v>16</v>
      </c>
      <c r="AL354" s="72"/>
      <c r="AM354" s="72"/>
      <c r="AN354" s="72"/>
      <c r="AO354" s="8" t="s">
        <v>17</v>
      </c>
      <c r="AP354" s="8"/>
      <c r="AQ354" s="8"/>
      <c r="AR354" s="10"/>
    </row>
    <row r="355" spans="2:67" ht="15.75" thickBot="1" x14ac:dyDescent="0.3">
      <c r="B355" s="73" t="s">
        <v>19</v>
      </c>
      <c r="C355" s="74"/>
      <c r="D355" s="75"/>
      <c r="E355" s="76">
        <v>43296</v>
      </c>
      <c r="F355" s="72"/>
      <c r="G355" s="72"/>
      <c r="H355" s="72"/>
      <c r="I355" s="77">
        <v>43311</v>
      </c>
      <c r="J355" s="72"/>
      <c r="K355" s="72"/>
      <c r="L355" s="72"/>
      <c r="M355" s="77">
        <v>43326</v>
      </c>
      <c r="N355" s="72"/>
      <c r="O355" s="72"/>
      <c r="P355" s="72"/>
      <c r="Q355" s="77"/>
      <c r="R355" s="72"/>
      <c r="S355" s="72"/>
      <c r="T355" s="72"/>
      <c r="U355" s="77"/>
      <c r="V355" s="72"/>
      <c r="W355" s="72"/>
      <c r="X355" s="72"/>
      <c r="Y355" s="77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"/>
      <c r="AP355" s="8"/>
      <c r="AQ355" s="8"/>
      <c r="AR355" s="10"/>
    </row>
    <row r="356" spans="2:67" ht="15.75" thickBot="1" x14ac:dyDescent="0.3">
      <c r="B356" s="2"/>
      <c r="C356" s="2"/>
      <c r="D356" s="2"/>
      <c r="E356" s="78">
        <v>83</v>
      </c>
      <c r="F356" s="79"/>
      <c r="G356" s="79"/>
      <c r="H356" s="79"/>
      <c r="I356" s="79">
        <v>83</v>
      </c>
      <c r="J356" s="79"/>
      <c r="K356" s="79"/>
      <c r="L356" s="79"/>
      <c r="M356" s="79">
        <v>84</v>
      </c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12"/>
      <c r="AP356" s="12"/>
      <c r="AQ356" s="12"/>
      <c r="AR356" s="13"/>
    </row>
    <row r="357" spans="2:67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2:67" ht="15.75" thickBo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2:67" ht="15.75" thickBot="1" x14ac:dyDescent="0.3">
      <c r="B359" s="2"/>
      <c r="C359" s="1">
        <v>44</v>
      </c>
      <c r="D359" s="14" t="s">
        <v>3</v>
      </c>
      <c r="E359" s="14"/>
      <c r="F359" s="14"/>
      <c r="G359" s="66" t="s">
        <v>4</v>
      </c>
      <c r="H359" s="66"/>
      <c r="I359" s="66"/>
      <c r="J359" s="66"/>
      <c r="K359" s="66"/>
      <c r="L359" s="66"/>
      <c r="M359" s="66" t="s">
        <v>5</v>
      </c>
      <c r="N359" s="6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16" t="s">
        <v>6</v>
      </c>
      <c r="AK359" s="17"/>
      <c r="AL359" s="17"/>
      <c r="AM359" s="17"/>
      <c r="AN359" s="2"/>
      <c r="AO359" s="16" t="s">
        <v>7</v>
      </c>
      <c r="AP359" s="17"/>
      <c r="AQ359" s="17"/>
      <c r="AR359" s="17"/>
      <c r="AU359" s="39" t="s">
        <v>20</v>
      </c>
      <c r="AV359" s="40"/>
      <c r="AW359" s="40"/>
      <c r="AX359" s="40"/>
      <c r="AY359" s="40"/>
      <c r="AZ359" s="41"/>
    </row>
    <row r="360" spans="2:67" ht="15.75" thickBot="1" x14ac:dyDescent="0.3">
      <c r="B360" s="2"/>
      <c r="C360" s="2"/>
      <c r="D360" s="22">
        <v>1506</v>
      </c>
      <c r="E360" s="23"/>
      <c r="F360" s="24"/>
      <c r="G360" s="67">
        <v>43326</v>
      </c>
      <c r="H360" s="68"/>
      <c r="I360" s="68"/>
      <c r="J360" s="68"/>
      <c r="K360" s="68"/>
      <c r="L360" s="69"/>
      <c r="M360" s="70">
        <v>5</v>
      </c>
      <c r="N360" s="70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9">
        <v>954</v>
      </c>
      <c r="AK360" s="30"/>
      <c r="AL360" s="30"/>
      <c r="AM360" s="30"/>
      <c r="AN360" s="2"/>
      <c r="AO360" s="42">
        <f>AJ360-E364-I364-M364-Q364-U364-Y364-AC364-AG364-AK364-AO364</f>
        <v>0</v>
      </c>
      <c r="AP360" s="43"/>
      <c r="AQ360" s="43"/>
      <c r="AR360" s="43"/>
      <c r="AU360" s="44" t="s">
        <v>21</v>
      </c>
      <c r="AV360" s="45"/>
      <c r="AW360" s="45"/>
      <c r="AX360" s="45" t="s">
        <v>22</v>
      </c>
      <c r="AY360" s="45"/>
      <c r="AZ360" s="46"/>
    </row>
    <row r="361" spans="2:67" ht="15.75" thickBo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U361" s="47">
        <v>16</v>
      </c>
      <c r="AV361" s="48"/>
      <c r="AW361" s="48"/>
      <c r="AX361" s="48">
        <v>20</v>
      </c>
      <c r="AY361" s="48"/>
      <c r="AZ361" s="49"/>
    </row>
    <row r="362" spans="2:67" ht="15.75" thickBot="1" x14ac:dyDescent="0.3">
      <c r="B362" s="2"/>
      <c r="C362" s="2"/>
      <c r="D362" s="2"/>
      <c r="E362" s="71" t="s">
        <v>8</v>
      </c>
      <c r="F362" s="72"/>
      <c r="G362" s="72"/>
      <c r="H362" s="72"/>
      <c r="I362" s="72" t="s">
        <v>9</v>
      </c>
      <c r="J362" s="72"/>
      <c r="K362" s="72"/>
      <c r="L362" s="72"/>
      <c r="M362" s="72" t="s">
        <v>10</v>
      </c>
      <c r="N362" s="72"/>
      <c r="O362" s="72"/>
      <c r="P362" s="72"/>
      <c r="Q362" s="72" t="s">
        <v>11</v>
      </c>
      <c r="R362" s="72"/>
      <c r="S362" s="72"/>
      <c r="T362" s="72"/>
      <c r="U362" s="72" t="s">
        <v>12</v>
      </c>
      <c r="V362" s="72"/>
      <c r="W362" s="72"/>
      <c r="X362" s="72"/>
      <c r="Y362" s="72" t="s">
        <v>13</v>
      </c>
      <c r="Z362" s="72"/>
      <c r="AA362" s="72"/>
      <c r="AB362" s="72"/>
      <c r="AC362" s="72" t="s">
        <v>14</v>
      </c>
      <c r="AD362" s="72"/>
      <c r="AE362" s="72"/>
      <c r="AF362" s="72"/>
      <c r="AG362" s="72" t="s">
        <v>15</v>
      </c>
      <c r="AH362" s="72"/>
      <c r="AI362" s="72"/>
      <c r="AJ362" s="72"/>
      <c r="AK362" s="72" t="s">
        <v>16</v>
      </c>
      <c r="AL362" s="72"/>
      <c r="AM362" s="72"/>
      <c r="AN362" s="72"/>
      <c r="AO362" s="8" t="s">
        <v>17</v>
      </c>
      <c r="AP362" s="8"/>
      <c r="AQ362" s="8"/>
      <c r="AR362" s="10"/>
    </row>
    <row r="363" spans="2:67" ht="15.75" thickBot="1" x14ac:dyDescent="0.3">
      <c r="B363" s="73" t="s">
        <v>19</v>
      </c>
      <c r="C363" s="74"/>
      <c r="D363" s="75"/>
      <c r="E363" s="76">
        <v>43341</v>
      </c>
      <c r="F363" s="72"/>
      <c r="G363" s="72"/>
      <c r="H363" s="72"/>
      <c r="I363" s="77">
        <v>43358</v>
      </c>
      <c r="J363" s="72"/>
      <c r="K363" s="72"/>
      <c r="L363" s="72"/>
      <c r="M363" s="77">
        <v>43373</v>
      </c>
      <c r="N363" s="72"/>
      <c r="O363" s="72"/>
      <c r="P363" s="72"/>
      <c r="Q363" s="77">
        <v>43388</v>
      </c>
      <c r="R363" s="72"/>
      <c r="S363" s="72"/>
      <c r="T363" s="72"/>
      <c r="U363" s="77">
        <v>43403</v>
      </c>
      <c r="V363" s="72"/>
      <c r="W363" s="72"/>
      <c r="X363" s="72"/>
      <c r="Y363" s="77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"/>
      <c r="AP363" s="8"/>
      <c r="AQ363" s="8"/>
      <c r="AR363" s="10"/>
    </row>
    <row r="364" spans="2:67" ht="15.75" thickBot="1" x14ac:dyDescent="0.3">
      <c r="B364" s="2"/>
      <c r="C364" s="2"/>
      <c r="D364" s="2"/>
      <c r="E364" s="78">
        <v>191</v>
      </c>
      <c r="F364" s="79"/>
      <c r="G364" s="79"/>
      <c r="H364" s="79"/>
      <c r="I364" s="79">
        <v>191</v>
      </c>
      <c r="J364" s="79"/>
      <c r="K364" s="79"/>
      <c r="L364" s="79"/>
      <c r="M364" s="79">
        <v>191</v>
      </c>
      <c r="N364" s="79"/>
      <c r="O364" s="79"/>
      <c r="P364" s="79"/>
      <c r="Q364" s="79">
        <v>191</v>
      </c>
      <c r="R364" s="79"/>
      <c r="S364" s="79"/>
      <c r="T364" s="79"/>
      <c r="U364" s="79">
        <v>190</v>
      </c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12"/>
      <c r="AP364" s="12"/>
      <c r="AQ364" s="12"/>
      <c r="AR364" s="13"/>
    </row>
    <row r="365" spans="2:67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2:67" ht="15.75" thickBo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2:67" ht="15.75" thickBot="1" x14ac:dyDescent="0.3">
      <c r="B367" s="2"/>
      <c r="C367" s="1">
        <v>45</v>
      </c>
      <c r="D367" s="14" t="s">
        <v>3</v>
      </c>
      <c r="E367" s="14"/>
      <c r="F367" s="14"/>
      <c r="G367" s="66" t="s">
        <v>4</v>
      </c>
      <c r="H367" s="66"/>
      <c r="I367" s="66"/>
      <c r="J367" s="66"/>
      <c r="K367" s="66"/>
      <c r="L367" s="66"/>
      <c r="M367" s="66" t="s">
        <v>5</v>
      </c>
      <c r="N367" s="6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16" t="s">
        <v>6</v>
      </c>
      <c r="AK367" s="17"/>
      <c r="AL367" s="17"/>
      <c r="AM367" s="17"/>
      <c r="AN367" s="2"/>
      <c r="AO367" s="16" t="s">
        <v>7</v>
      </c>
      <c r="AP367" s="17"/>
      <c r="AQ367" s="17"/>
      <c r="AR367" s="17"/>
      <c r="AU367" s="39" t="s">
        <v>20</v>
      </c>
      <c r="AV367" s="40"/>
      <c r="AW367" s="40"/>
      <c r="AX367" s="40"/>
      <c r="AY367" s="40"/>
      <c r="AZ367" s="41"/>
    </row>
    <row r="368" spans="2:67" ht="15.75" thickBot="1" x14ac:dyDescent="0.3">
      <c r="B368" s="2"/>
      <c r="C368" s="2"/>
      <c r="D368" s="22">
        <v>2020</v>
      </c>
      <c r="E368" s="23"/>
      <c r="F368" s="24"/>
      <c r="G368" s="67">
        <v>43373</v>
      </c>
      <c r="H368" s="68"/>
      <c r="I368" s="68"/>
      <c r="J368" s="68"/>
      <c r="K368" s="68"/>
      <c r="L368" s="69"/>
      <c r="M368" s="70">
        <v>6</v>
      </c>
      <c r="N368" s="70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9">
        <v>1198</v>
      </c>
      <c r="AK368" s="30"/>
      <c r="AL368" s="30"/>
      <c r="AM368" s="30"/>
      <c r="AN368" s="2"/>
      <c r="AO368" s="42">
        <f>AJ368-E372-I372-M372-Q372-U372-Y372-AC372-AG372-AK372-AO372</f>
        <v>0</v>
      </c>
      <c r="AP368" s="43"/>
      <c r="AQ368" s="43"/>
      <c r="AR368" s="43"/>
      <c r="AU368" s="44" t="s">
        <v>21</v>
      </c>
      <c r="AV368" s="45"/>
      <c r="AW368" s="45"/>
      <c r="AX368" s="45" t="s">
        <v>22</v>
      </c>
      <c r="AY368" s="45"/>
      <c r="AZ368" s="46"/>
    </row>
    <row r="369" spans="2:52" ht="15.75" thickBo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U369" s="47">
        <v>19</v>
      </c>
      <c r="AV369" s="48"/>
      <c r="AW369" s="48"/>
      <c r="AX369" s="48">
        <v>24</v>
      </c>
      <c r="AY369" s="48"/>
      <c r="AZ369" s="49"/>
    </row>
    <row r="370" spans="2:52" ht="15.75" thickBot="1" x14ac:dyDescent="0.3">
      <c r="B370" s="2"/>
      <c r="C370" s="2"/>
      <c r="D370" s="2"/>
      <c r="E370" s="71" t="s">
        <v>8</v>
      </c>
      <c r="F370" s="72"/>
      <c r="G370" s="72"/>
      <c r="H370" s="72"/>
      <c r="I370" s="72" t="s">
        <v>9</v>
      </c>
      <c r="J370" s="72"/>
      <c r="K370" s="72"/>
      <c r="L370" s="72"/>
      <c r="M370" s="72" t="s">
        <v>10</v>
      </c>
      <c r="N370" s="72"/>
      <c r="O370" s="72"/>
      <c r="P370" s="72"/>
      <c r="Q370" s="72" t="s">
        <v>11</v>
      </c>
      <c r="R370" s="72"/>
      <c r="S370" s="72"/>
      <c r="T370" s="72"/>
      <c r="U370" s="72" t="s">
        <v>12</v>
      </c>
      <c r="V370" s="72"/>
      <c r="W370" s="72"/>
      <c r="X370" s="72"/>
      <c r="Y370" s="72" t="s">
        <v>13</v>
      </c>
      <c r="Z370" s="72"/>
      <c r="AA370" s="72"/>
      <c r="AB370" s="72"/>
      <c r="AC370" s="72" t="s">
        <v>14</v>
      </c>
      <c r="AD370" s="72"/>
      <c r="AE370" s="72"/>
      <c r="AF370" s="72"/>
      <c r="AG370" s="72" t="s">
        <v>15</v>
      </c>
      <c r="AH370" s="72"/>
      <c r="AI370" s="72"/>
      <c r="AJ370" s="72"/>
      <c r="AK370" s="72" t="s">
        <v>16</v>
      </c>
      <c r="AL370" s="72"/>
      <c r="AM370" s="72"/>
      <c r="AN370" s="72"/>
      <c r="AO370" s="8" t="s">
        <v>17</v>
      </c>
      <c r="AP370" s="8"/>
      <c r="AQ370" s="8"/>
      <c r="AR370" s="10"/>
    </row>
    <row r="371" spans="2:52" ht="15.75" thickBot="1" x14ac:dyDescent="0.3">
      <c r="B371" s="73" t="s">
        <v>19</v>
      </c>
      <c r="C371" s="74"/>
      <c r="D371" s="75"/>
      <c r="E371" s="76">
        <v>43388</v>
      </c>
      <c r="F371" s="72"/>
      <c r="G371" s="72"/>
      <c r="H371" s="72"/>
      <c r="I371" s="77">
        <v>43403</v>
      </c>
      <c r="J371" s="72"/>
      <c r="K371" s="72"/>
      <c r="L371" s="72"/>
      <c r="M371" s="77">
        <v>43419</v>
      </c>
      <c r="N371" s="72"/>
      <c r="O371" s="72"/>
      <c r="P371" s="72"/>
      <c r="Q371" s="77">
        <v>43434</v>
      </c>
      <c r="R371" s="72"/>
      <c r="S371" s="72"/>
      <c r="T371" s="72"/>
      <c r="U371" s="77">
        <v>43449</v>
      </c>
      <c r="V371" s="72"/>
      <c r="W371" s="72"/>
      <c r="X371" s="72"/>
      <c r="Y371" s="77">
        <v>43464</v>
      </c>
      <c r="Z371" s="72"/>
      <c r="AA371" s="72"/>
      <c r="AB371" s="72"/>
      <c r="AC371" s="77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"/>
      <c r="AP371" s="8"/>
      <c r="AQ371" s="8"/>
      <c r="AR371" s="10"/>
    </row>
    <row r="372" spans="2:52" ht="15.75" thickBot="1" x14ac:dyDescent="0.3">
      <c r="B372" s="2"/>
      <c r="C372" s="2"/>
      <c r="D372" s="2"/>
      <c r="E372" s="78">
        <v>200</v>
      </c>
      <c r="F372" s="79"/>
      <c r="G372" s="79"/>
      <c r="H372" s="79"/>
      <c r="I372" s="79">
        <v>200</v>
      </c>
      <c r="J372" s="79"/>
      <c r="K372" s="79"/>
      <c r="L372" s="79"/>
      <c r="M372" s="79">
        <v>200</v>
      </c>
      <c r="N372" s="79"/>
      <c r="O372" s="79"/>
      <c r="P372" s="79"/>
      <c r="Q372" s="79">
        <v>200</v>
      </c>
      <c r="R372" s="79"/>
      <c r="S372" s="79"/>
      <c r="T372" s="79"/>
      <c r="U372" s="79">
        <v>200</v>
      </c>
      <c r="V372" s="79"/>
      <c r="W372" s="79"/>
      <c r="X372" s="79"/>
      <c r="Y372" s="79">
        <v>198</v>
      </c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12"/>
      <c r="AP372" s="12"/>
      <c r="AQ372" s="12"/>
      <c r="AR372" s="13"/>
    </row>
    <row r="373" spans="2:52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2:52" ht="15.75" thickBo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2:52" ht="15.75" thickBot="1" x14ac:dyDescent="0.3">
      <c r="B375" s="2"/>
      <c r="C375" s="1">
        <v>46</v>
      </c>
      <c r="D375" s="14" t="s">
        <v>3</v>
      </c>
      <c r="E375" s="14"/>
      <c r="F375" s="14"/>
      <c r="G375" s="66" t="s">
        <v>4</v>
      </c>
      <c r="H375" s="66"/>
      <c r="I375" s="66"/>
      <c r="J375" s="66"/>
      <c r="K375" s="66"/>
      <c r="L375" s="66"/>
      <c r="M375" s="66" t="s">
        <v>5</v>
      </c>
      <c r="N375" s="6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16" t="s">
        <v>6</v>
      </c>
      <c r="AK375" s="17"/>
      <c r="AL375" s="17"/>
      <c r="AM375" s="17"/>
      <c r="AN375" s="2"/>
      <c r="AO375" s="16" t="s">
        <v>7</v>
      </c>
      <c r="AP375" s="17"/>
      <c r="AQ375" s="17"/>
      <c r="AR375" s="17"/>
      <c r="AU375" s="39" t="s">
        <v>20</v>
      </c>
      <c r="AV375" s="40"/>
      <c r="AW375" s="40"/>
      <c r="AX375" s="40"/>
      <c r="AY375" s="40"/>
      <c r="AZ375" s="41"/>
    </row>
    <row r="376" spans="2:52" ht="15.75" thickBot="1" x14ac:dyDescent="0.3">
      <c r="B376" s="2"/>
      <c r="C376" s="2"/>
      <c r="D376" s="22">
        <v>3131</v>
      </c>
      <c r="E376" s="23"/>
      <c r="F376" s="24"/>
      <c r="G376" s="67">
        <v>43829</v>
      </c>
      <c r="H376" s="68"/>
      <c r="I376" s="68"/>
      <c r="J376" s="68"/>
      <c r="K376" s="68"/>
      <c r="L376" s="69"/>
      <c r="M376" s="70">
        <v>4</v>
      </c>
      <c r="N376" s="70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9">
        <v>620</v>
      </c>
      <c r="AK376" s="30"/>
      <c r="AL376" s="30"/>
      <c r="AM376" s="30"/>
      <c r="AN376" s="2"/>
      <c r="AO376" s="42">
        <f>AJ376-E380-I380-M380-Q380-U380-Y380-AC380-AG380-AK380-AO380</f>
        <v>0</v>
      </c>
      <c r="AP376" s="43"/>
      <c r="AQ376" s="43"/>
      <c r="AR376" s="43"/>
      <c r="AU376" s="44" t="s">
        <v>21</v>
      </c>
      <c r="AV376" s="45"/>
      <c r="AW376" s="45"/>
      <c r="AX376" s="45" t="s">
        <v>22</v>
      </c>
      <c r="AY376" s="45"/>
      <c r="AZ376" s="46"/>
    </row>
    <row r="377" spans="2:52" ht="15.75" thickBo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U377" s="47">
        <v>24</v>
      </c>
      <c r="AV377" s="48"/>
      <c r="AW377" s="48"/>
      <c r="AX377" s="48">
        <v>3</v>
      </c>
      <c r="AY377" s="48"/>
      <c r="AZ377" s="49"/>
    </row>
    <row r="378" spans="2:52" ht="15.75" thickBot="1" x14ac:dyDescent="0.3">
      <c r="B378" s="2"/>
      <c r="C378" s="2"/>
      <c r="D378" s="2"/>
      <c r="E378" s="71" t="s">
        <v>8</v>
      </c>
      <c r="F378" s="72"/>
      <c r="G378" s="72"/>
      <c r="H378" s="72"/>
      <c r="I378" s="72" t="s">
        <v>9</v>
      </c>
      <c r="J378" s="72"/>
      <c r="K378" s="72"/>
      <c r="L378" s="72"/>
      <c r="M378" s="72" t="s">
        <v>10</v>
      </c>
      <c r="N378" s="72"/>
      <c r="O378" s="72"/>
      <c r="P378" s="72"/>
      <c r="Q378" s="72" t="s">
        <v>11</v>
      </c>
      <c r="R378" s="72"/>
      <c r="S378" s="72"/>
      <c r="T378" s="72"/>
      <c r="U378" s="72" t="s">
        <v>12</v>
      </c>
      <c r="V378" s="72"/>
      <c r="W378" s="72"/>
      <c r="X378" s="72"/>
      <c r="Y378" s="72" t="s">
        <v>13</v>
      </c>
      <c r="Z378" s="72"/>
      <c r="AA378" s="72"/>
      <c r="AB378" s="72"/>
      <c r="AC378" s="72" t="s">
        <v>14</v>
      </c>
      <c r="AD378" s="72"/>
      <c r="AE378" s="72"/>
      <c r="AF378" s="72"/>
      <c r="AG378" s="72" t="s">
        <v>15</v>
      </c>
      <c r="AH378" s="72"/>
      <c r="AI378" s="72"/>
      <c r="AJ378" s="72"/>
      <c r="AK378" s="72" t="s">
        <v>16</v>
      </c>
      <c r="AL378" s="72"/>
      <c r="AM378" s="72"/>
      <c r="AN378" s="72"/>
      <c r="AO378" s="8" t="s">
        <v>17</v>
      </c>
      <c r="AP378" s="8"/>
      <c r="AQ378" s="8"/>
      <c r="AR378" s="10"/>
    </row>
    <row r="379" spans="2:52" ht="15.75" thickBot="1" x14ac:dyDescent="0.3">
      <c r="B379" s="73" t="s">
        <v>19</v>
      </c>
      <c r="C379" s="74"/>
      <c r="D379" s="75"/>
      <c r="E379" s="76">
        <v>43480</v>
      </c>
      <c r="F379" s="72"/>
      <c r="G379" s="72"/>
      <c r="H379" s="72"/>
      <c r="I379" s="77">
        <v>43495</v>
      </c>
      <c r="J379" s="72"/>
      <c r="K379" s="72"/>
      <c r="L379" s="72"/>
      <c r="M379" s="77">
        <v>43511</v>
      </c>
      <c r="N379" s="72"/>
      <c r="O379" s="72"/>
      <c r="P379" s="72"/>
      <c r="Q379" s="77">
        <v>43524</v>
      </c>
      <c r="R379" s="72"/>
      <c r="S379" s="72"/>
      <c r="T379" s="72"/>
      <c r="U379" s="77"/>
      <c r="V379" s="72"/>
      <c r="W379" s="72"/>
      <c r="X379" s="72"/>
      <c r="Y379" s="77"/>
      <c r="Z379" s="72"/>
      <c r="AA379" s="72"/>
      <c r="AB379" s="72"/>
      <c r="AC379" s="77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"/>
      <c r="AP379" s="8"/>
      <c r="AQ379" s="8"/>
      <c r="AR379" s="10"/>
    </row>
    <row r="380" spans="2:52" ht="15.75" thickBot="1" x14ac:dyDescent="0.3">
      <c r="B380" s="2"/>
      <c r="C380" s="2"/>
      <c r="D380" s="2"/>
      <c r="E380" s="78">
        <v>155</v>
      </c>
      <c r="F380" s="79"/>
      <c r="G380" s="79"/>
      <c r="H380" s="79"/>
      <c r="I380" s="79">
        <v>155</v>
      </c>
      <c r="J380" s="79"/>
      <c r="K380" s="79"/>
      <c r="L380" s="79"/>
      <c r="M380" s="79">
        <v>155</v>
      </c>
      <c r="N380" s="79"/>
      <c r="O380" s="79"/>
      <c r="P380" s="79"/>
      <c r="Q380" s="79">
        <v>155</v>
      </c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12"/>
      <c r="AP380" s="12"/>
      <c r="AQ380" s="12"/>
      <c r="AR380" s="13"/>
    </row>
    <row r="381" spans="2:52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2:52" ht="15.75" thickBo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2:52" ht="15.75" thickBot="1" x14ac:dyDescent="0.3">
      <c r="B383" s="2"/>
      <c r="C383" s="1">
        <v>47</v>
      </c>
      <c r="D383" s="14" t="s">
        <v>3</v>
      </c>
      <c r="E383" s="14"/>
      <c r="F383" s="14"/>
      <c r="G383" s="66" t="s">
        <v>4</v>
      </c>
      <c r="H383" s="66"/>
      <c r="I383" s="66"/>
      <c r="J383" s="66"/>
      <c r="K383" s="66"/>
      <c r="L383" s="66"/>
      <c r="M383" s="66" t="s">
        <v>5</v>
      </c>
      <c r="N383" s="6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16" t="s">
        <v>6</v>
      </c>
      <c r="AK383" s="17"/>
      <c r="AL383" s="17"/>
      <c r="AM383" s="17"/>
      <c r="AN383" s="2"/>
      <c r="AO383" s="16" t="s">
        <v>7</v>
      </c>
      <c r="AP383" s="17"/>
      <c r="AQ383" s="17"/>
      <c r="AR383" s="17"/>
      <c r="AU383" s="39" t="s">
        <v>20</v>
      </c>
      <c r="AV383" s="40"/>
      <c r="AW383" s="40"/>
      <c r="AX383" s="40"/>
      <c r="AY383" s="40"/>
      <c r="AZ383" s="41"/>
    </row>
    <row r="384" spans="2:52" ht="15.75" thickBot="1" x14ac:dyDescent="0.3">
      <c r="B384" s="2"/>
      <c r="C384" s="2"/>
      <c r="D384" s="22">
        <v>3174</v>
      </c>
      <c r="E384" s="23"/>
      <c r="F384" s="24"/>
      <c r="G384" s="67">
        <v>43480</v>
      </c>
      <c r="H384" s="68"/>
      <c r="I384" s="68"/>
      <c r="J384" s="68"/>
      <c r="K384" s="68"/>
      <c r="L384" s="69"/>
      <c r="M384" s="70">
        <v>4</v>
      </c>
      <c r="N384" s="70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9">
        <v>440</v>
      </c>
      <c r="AK384" s="30"/>
      <c r="AL384" s="30"/>
      <c r="AM384" s="30"/>
      <c r="AN384" s="2"/>
      <c r="AO384" s="42">
        <f>AJ384-E388-I388-M388-Q388-U388-Y388-AC388-AG388-AK388-AO388</f>
        <v>0</v>
      </c>
      <c r="AP384" s="43"/>
      <c r="AQ384" s="43"/>
      <c r="AR384" s="43"/>
      <c r="AU384" s="44" t="s">
        <v>21</v>
      </c>
      <c r="AV384" s="45"/>
      <c r="AW384" s="45"/>
      <c r="AX384" s="45" t="s">
        <v>22</v>
      </c>
      <c r="AY384" s="45"/>
      <c r="AZ384" s="46"/>
    </row>
    <row r="385" spans="2:52" ht="15.75" thickBo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U385" s="47">
        <v>2</v>
      </c>
      <c r="AV385" s="48"/>
      <c r="AW385" s="48"/>
      <c r="AX385" s="48">
        <v>5</v>
      </c>
      <c r="AY385" s="48"/>
      <c r="AZ385" s="49"/>
    </row>
    <row r="386" spans="2:52" ht="15.75" thickBot="1" x14ac:dyDescent="0.3">
      <c r="B386" s="2"/>
      <c r="C386" s="2"/>
      <c r="D386" s="2"/>
      <c r="E386" s="71" t="s">
        <v>8</v>
      </c>
      <c r="F386" s="72"/>
      <c r="G386" s="72"/>
      <c r="H386" s="72"/>
      <c r="I386" s="72" t="s">
        <v>9</v>
      </c>
      <c r="J386" s="72"/>
      <c r="K386" s="72"/>
      <c r="L386" s="72"/>
      <c r="M386" s="72" t="s">
        <v>10</v>
      </c>
      <c r="N386" s="72"/>
      <c r="O386" s="72"/>
      <c r="P386" s="72"/>
      <c r="Q386" s="72" t="s">
        <v>11</v>
      </c>
      <c r="R386" s="72"/>
      <c r="S386" s="72"/>
      <c r="T386" s="72"/>
      <c r="U386" s="72" t="s">
        <v>12</v>
      </c>
      <c r="V386" s="72"/>
      <c r="W386" s="72"/>
      <c r="X386" s="72"/>
      <c r="Y386" s="72" t="s">
        <v>13</v>
      </c>
      <c r="Z386" s="72"/>
      <c r="AA386" s="72"/>
      <c r="AB386" s="72"/>
      <c r="AC386" s="72" t="s">
        <v>14</v>
      </c>
      <c r="AD386" s="72"/>
      <c r="AE386" s="72"/>
      <c r="AF386" s="72"/>
      <c r="AG386" s="72" t="s">
        <v>15</v>
      </c>
      <c r="AH386" s="72"/>
      <c r="AI386" s="72"/>
      <c r="AJ386" s="72"/>
      <c r="AK386" s="72" t="s">
        <v>16</v>
      </c>
      <c r="AL386" s="72"/>
      <c r="AM386" s="72"/>
      <c r="AN386" s="72"/>
      <c r="AO386" s="8" t="s">
        <v>17</v>
      </c>
      <c r="AP386" s="8"/>
      <c r="AQ386" s="8"/>
      <c r="AR386" s="10"/>
    </row>
    <row r="387" spans="2:52" ht="15.75" thickBot="1" x14ac:dyDescent="0.3">
      <c r="B387" s="73" t="s">
        <v>19</v>
      </c>
      <c r="C387" s="74"/>
      <c r="D387" s="75"/>
      <c r="E387" s="76">
        <v>43495</v>
      </c>
      <c r="F387" s="72"/>
      <c r="G387" s="72"/>
      <c r="H387" s="72"/>
      <c r="I387" s="77">
        <v>43511</v>
      </c>
      <c r="J387" s="72"/>
      <c r="K387" s="72"/>
      <c r="L387" s="72"/>
      <c r="M387" s="77">
        <v>43524</v>
      </c>
      <c r="N387" s="72"/>
      <c r="O387" s="72"/>
      <c r="P387" s="72"/>
      <c r="Q387" s="77">
        <v>43539</v>
      </c>
      <c r="R387" s="72"/>
      <c r="S387" s="72"/>
      <c r="T387" s="72"/>
      <c r="U387" s="77"/>
      <c r="V387" s="72"/>
      <c r="W387" s="72"/>
      <c r="X387" s="72"/>
      <c r="Y387" s="77"/>
      <c r="Z387" s="72"/>
      <c r="AA387" s="72"/>
      <c r="AB387" s="72"/>
      <c r="AC387" s="77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"/>
      <c r="AP387" s="8"/>
      <c r="AQ387" s="8"/>
      <c r="AR387" s="10"/>
    </row>
    <row r="388" spans="2:52" ht="15.75" thickBot="1" x14ac:dyDescent="0.3">
      <c r="B388" s="2"/>
      <c r="C388" s="2"/>
      <c r="D388" s="2"/>
      <c r="E388" s="78">
        <v>110</v>
      </c>
      <c r="F388" s="79"/>
      <c r="G388" s="79"/>
      <c r="H388" s="79"/>
      <c r="I388" s="79">
        <v>110</v>
      </c>
      <c r="J388" s="79"/>
      <c r="K388" s="79"/>
      <c r="L388" s="79"/>
      <c r="M388" s="79">
        <v>110</v>
      </c>
      <c r="N388" s="79"/>
      <c r="O388" s="79"/>
      <c r="P388" s="79"/>
      <c r="Q388" s="79">
        <v>110</v>
      </c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12"/>
      <c r="AP388" s="12"/>
      <c r="AQ388" s="12"/>
      <c r="AR388" s="13"/>
    </row>
    <row r="389" spans="2:52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2:52" ht="15.75" thickBo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2:52" ht="15.75" thickBot="1" x14ac:dyDescent="0.3">
      <c r="C391" s="1">
        <v>48</v>
      </c>
      <c r="D391" s="14" t="s">
        <v>3</v>
      </c>
      <c r="E391" s="14"/>
      <c r="F391" s="14"/>
      <c r="G391" s="15" t="s">
        <v>4</v>
      </c>
      <c r="H391" s="15"/>
      <c r="I391" s="15"/>
      <c r="J391" s="15"/>
      <c r="K391" s="15"/>
      <c r="L391" s="15"/>
      <c r="M391" s="15" t="s">
        <v>5</v>
      </c>
      <c r="N391" s="15"/>
      <c r="AJ391" s="16" t="s">
        <v>6</v>
      </c>
      <c r="AK391" s="17"/>
      <c r="AL391" s="17"/>
      <c r="AM391" s="17"/>
      <c r="AO391" s="16" t="s">
        <v>7</v>
      </c>
      <c r="AP391" s="17"/>
      <c r="AQ391" s="17"/>
      <c r="AR391" s="17"/>
      <c r="AU391" s="39" t="s">
        <v>20</v>
      </c>
      <c r="AV391" s="40"/>
      <c r="AW391" s="40"/>
      <c r="AX391" s="40"/>
      <c r="AY391" s="40"/>
      <c r="AZ391" s="41"/>
    </row>
    <row r="392" spans="2:52" ht="15.75" thickBot="1" x14ac:dyDescent="0.3">
      <c r="D392" s="22">
        <v>3693</v>
      </c>
      <c r="E392" s="23"/>
      <c r="F392" s="24"/>
      <c r="G392" s="25">
        <v>43524</v>
      </c>
      <c r="H392" s="26"/>
      <c r="I392" s="26"/>
      <c r="J392" s="26"/>
      <c r="K392" s="26"/>
      <c r="L392" s="27"/>
      <c r="M392" s="28">
        <v>5</v>
      </c>
      <c r="N392" s="28"/>
      <c r="AJ392" s="29">
        <v>940</v>
      </c>
      <c r="AK392" s="30"/>
      <c r="AL392" s="30"/>
      <c r="AM392" s="30"/>
      <c r="AO392" s="42">
        <f>AJ392-E396-I396-M396-Q396-U396-Y396-AC396-AG396-AK396-AO396</f>
        <v>0</v>
      </c>
      <c r="AP392" s="43"/>
      <c r="AQ392" s="43"/>
      <c r="AR392" s="43"/>
      <c r="AU392" s="44" t="s">
        <v>21</v>
      </c>
      <c r="AV392" s="45"/>
      <c r="AW392" s="45"/>
      <c r="AX392" s="45" t="s">
        <v>22</v>
      </c>
      <c r="AY392" s="45"/>
      <c r="AZ392" s="46"/>
    </row>
    <row r="393" spans="2:52" ht="15.75" thickBot="1" x14ac:dyDescent="0.3">
      <c r="AU393" s="47">
        <v>5</v>
      </c>
      <c r="AV393" s="48"/>
      <c r="AW393" s="48"/>
      <c r="AX393" s="48">
        <v>9</v>
      </c>
      <c r="AY393" s="48"/>
      <c r="AZ393" s="49"/>
    </row>
    <row r="394" spans="2:52" ht="15.75" thickBot="1" x14ac:dyDescent="0.3">
      <c r="E394" s="18" t="s">
        <v>8</v>
      </c>
      <c r="F394" s="8"/>
      <c r="G394" s="8"/>
      <c r="H394" s="8"/>
      <c r="I394" s="8" t="s">
        <v>9</v>
      </c>
      <c r="J394" s="8"/>
      <c r="K394" s="8"/>
      <c r="L394" s="8"/>
      <c r="M394" s="8" t="s">
        <v>10</v>
      </c>
      <c r="N394" s="8"/>
      <c r="O394" s="8"/>
      <c r="P394" s="8"/>
      <c r="Q394" s="8" t="s">
        <v>11</v>
      </c>
      <c r="R394" s="8"/>
      <c r="S394" s="8"/>
      <c r="T394" s="8"/>
      <c r="U394" s="8" t="s">
        <v>12</v>
      </c>
      <c r="V394" s="8"/>
      <c r="W394" s="8"/>
      <c r="X394" s="8"/>
      <c r="Y394" s="8" t="s">
        <v>13</v>
      </c>
      <c r="Z394" s="8"/>
      <c r="AA394" s="8"/>
      <c r="AB394" s="8"/>
      <c r="AC394" s="8" t="s">
        <v>14</v>
      </c>
      <c r="AD394" s="8"/>
      <c r="AE394" s="8"/>
      <c r="AF394" s="8"/>
      <c r="AG394" s="8" t="s">
        <v>15</v>
      </c>
      <c r="AH394" s="8"/>
      <c r="AI394" s="8"/>
      <c r="AJ394" s="8"/>
      <c r="AK394" s="8" t="s">
        <v>16</v>
      </c>
      <c r="AL394" s="8"/>
      <c r="AM394" s="8"/>
      <c r="AN394" s="8"/>
      <c r="AO394" s="8" t="s">
        <v>17</v>
      </c>
      <c r="AP394" s="8"/>
      <c r="AQ394" s="8"/>
      <c r="AR394" s="10"/>
    </row>
    <row r="395" spans="2:52" ht="15.75" thickBot="1" x14ac:dyDescent="0.3">
      <c r="B395" s="4" t="s">
        <v>19</v>
      </c>
      <c r="C395" s="5"/>
      <c r="D395" s="6"/>
      <c r="E395" s="7">
        <v>43539</v>
      </c>
      <c r="F395" s="8"/>
      <c r="G395" s="8"/>
      <c r="H395" s="8"/>
      <c r="I395" s="9">
        <v>43554</v>
      </c>
      <c r="J395" s="8"/>
      <c r="K395" s="8"/>
      <c r="L395" s="8"/>
      <c r="M395" s="9">
        <v>43570</v>
      </c>
      <c r="N395" s="8"/>
      <c r="O395" s="8"/>
      <c r="P395" s="8"/>
      <c r="Q395" s="9">
        <v>43585</v>
      </c>
      <c r="R395" s="8"/>
      <c r="S395" s="8"/>
      <c r="T395" s="8"/>
      <c r="U395" s="9">
        <v>43600</v>
      </c>
      <c r="V395" s="8"/>
      <c r="W395" s="8"/>
      <c r="X395" s="8"/>
      <c r="Y395" s="9"/>
      <c r="Z395" s="8"/>
      <c r="AA395" s="8"/>
      <c r="AB395" s="8"/>
      <c r="AC395" s="9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10"/>
    </row>
    <row r="396" spans="2:52" ht="15.75" thickBot="1" x14ac:dyDescent="0.3">
      <c r="E396" s="11">
        <v>188</v>
      </c>
      <c r="F396" s="12"/>
      <c r="G396" s="12"/>
      <c r="H396" s="12"/>
      <c r="I396" s="12">
        <v>188</v>
      </c>
      <c r="J396" s="12"/>
      <c r="K396" s="12"/>
      <c r="L396" s="12"/>
      <c r="M396" s="12">
        <v>188</v>
      </c>
      <c r="N396" s="12"/>
      <c r="O396" s="12"/>
      <c r="P396" s="12"/>
      <c r="Q396" s="12">
        <v>188</v>
      </c>
      <c r="R396" s="12"/>
      <c r="S396" s="12"/>
      <c r="T396" s="12"/>
      <c r="U396" s="12">
        <v>188</v>
      </c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3"/>
    </row>
    <row r="398" spans="2:52" ht="15.75" thickBot="1" x14ac:dyDescent="0.3"/>
    <row r="399" spans="2:52" ht="15.75" thickBot="1" x14ac:dyDescent="0.3">
      <c r="C399" s="1">
        <v>49</v>
      </c>
      <c r="D399" s="14" t="s">
        <v>3</v>
      </c>
      <c r="E399" s="14"/>
      <c r="F399" s="14"/>
      <c r="G399" s="15" t="s">
        <v>4</v>
      </c>
      <c r="H399" s="15"/>
      <c r="I399" s="15"/>
      <c r="J399" s="15"/>
      <c r="K399" s="15"/>
      <c r="L399" s="15"/>
      <c r="M399" s="15" t="s">
        <v>5</v>
      </c>
      <c r="N399" s="15"/>
      <c r="AJ399" s="16" t="s">
        <v>6</v>
      </c>
      <c r="AK399" s="17"/>
      <c r="AL399" s="17"/>
      <c r="AM399" s="17"/>
      <c r="AO399" s="16" t="s">
        <v>7</v>
      </c>
      <c r="AP399" s="17"/>
      <c r="AQ399" s="17"/>
      <c r="AR399" s="17"/>
      <c r="AU399" s="39" t="s">
        <v>20</v>
      </c>
      <c r="AV399" s="40"/>
      <c r="AW399" s="40"/>
      <c r="AX399" s="40"/>
      <c r="AY399" s="40"/>
      <c r="AZ399" s="41"/>
    </row>
    <row r="400" spans="2:52" ht="15.75" thickBot="1" x14ac:dyDescent="0.3">
      <c r="D400" s="22">
        <v>4014</v>
      </c>
      <c r="E400" s="23"/>
      <c r="F400" s="24"/>
      <c r="G400" s="25">
        <v>43552</v>
      </c>
      <c r="H400" s="26"/>
      <c r="I400" s="26"/>
      <c r="J400" s="26"/>
      <c r="K400" s="26"/>
      <c r="L400" s="27"/>
      <c r="M400" s="28">
        <v>4</v>
      </c>
      <c r="N400" s="28"/>
      <c r="AJ400" s="29">
        <v>340</v>
      </c>
      <c r="AK400" s="30"/>
      <c r="AL400" s="30"/>
      <c r="AM400" s="30"/>
      <c r="AO400" s="42">
        <f>AJ400-E404-I404-M404-Q404-U404-Y404-AC404-AG404-AK404-AO404</f>
        <v>0</v>
      </c>
      <c r="AP400" s="43"/>
      <c r="AQ400" s="43"/>
      <c r="AR400" s="43"/>
      <c r="AU400" s="44" t="s">
        <v>21</v>
      </c>
      <c r="AV400" s="45"/>
      <c r="AW400" s="45"/>
      <c r="AX400" s="45" t="s">
        <v>22</v>
      </c>
      <c r="AY400" s="45"/>
      <c r="AZ400" s="46"/>
    </row>
    <row r="401" spans="2:52" ht="15.75" thickBot="1" x14ac:dyDescent="0.3">
      <c r="AU401" s="47">
        <v>7</v>
      </c>
      <c r="AV401" s="48"/>
      <c r="AW401" s="48"/>
      <c r="AX401" s="48">
        <v>10</v>
      </c>
      <c r="AY401" s="48"/>
      <c r="AZ401" s="49"/>
    </row>
    <row r="402" spans="2:52" ht="15.75" thickBot="1" x14ac:dyDescent="0.3">
      <c r="E402" s="18" t="s">
        <v>8</v>
      </c>
      <c r="F402" s="8"/>
      <c r="G402" s="8"/>
      <c r="H402" s="8"/>
      <c r="I402" s="8" t="s">
        <v>9</v>
      </c>
      <c r="J402" s="8"/>
      <c r="K402" s="8"/>
      <c r="L402" s="8"/>
      <c r="M402" s="8" t="s">
        <v>10</v>
      </c>
      <c r="N402" s="8"/>
      <c r="O402" s="8"/>
      <c r="P402" s="8"/>
      <c r="Q402" s="8" t="s">
        <v>11</v>
      </c>
      <c r="R402" s="8"/>
      <c r="S402" s="8"/>
      <c r="T402" s="8"/>
      <c r="U402" s="8" t="s">
        <v>12</v>
      </c>
      <c r="V402" s="8"/>
      <c r="W402" s="8"/>
      <c r="X402" s="8"/>
      <c r="Y402" s="8" t="s">
        <v>13</v>
      </c>
      <c r="Z402" s="8"/>
      <c r="AA402" s="8"/>
      <c r="AB402" s="8"/>
      <c r="AC402" s="8" t="s">
        <v>14</v>
      </c>
      <c r="AD402" s="8"/>
      <c r="AE402" s="8"/>
      <c r="AF402" s="8"/>
      <c r="AG402" s="8" t="s">
        <v>15</v>
      </c>
      <c r="AH402" s="8"/>
      <c r="AI402" s="8"/>
      <c r="AJ402" s="8"/>
      <c r="AK402" s="8" t="s">
        <v>16</v>
      </c>
      <c r="AL402" s="8"/>
      <c r="AM402" s="8"/>
      <c r="AN402" s="8"/>
      <c r="AO402" s="8" t="s">
        <v>17</v>
      </c>
      <c r="AP402" s="8"/>
      <c r="AQ402" s="8"/>
      <c r="AR402" s="10"/>
    </row>
    <row r="403" spans="2:52" ht="15.75" thickBot="1" x14ac:dyDescent="0.3">
      <c r="B403" s="4" t="s">
        <v>19</v>
      </c>
      <c r="C403" s="5"/>
      <c r="D403" s="6"/>
      <c r="E403" s="7">
        <v>43570</v>
      </c>
      <c r="F403" s="8"/>
      <c r="G403" s="8"/>
      <c r="H403" s="8"/>
      <c r="I403" s="9">
        <v>43585</v>
      </c>
      <c r="J403" s="8"/>
      <c r="K403" s="8"/>
      <c r="L403" s="8"/>
      <c r="M403" s="9">
        <v>43600</v>
      </c>
      <c r="N403" s="8"/>
      <c r="O403" s="8"/>
      <c r="P403" s="8"/>
      <c r="Q403" s="9">
        <v>43615</v>
      </c>
      <c r="R403" s="8"/>
      <c r="S403" s="8"/>
      <c r="T403" s="8"/>
      <c r="U403" s="9"/>
      <c r="V403" s="8"/>
      <c r="W403" s="8"/>
      <c r="X403" s="8"/>
      <c r="Y403" s="9"/>
      <c r="Z403" s="8"/>
      <c r="AA403" s="8"/>
      <c r="AB403" s="8"/>
      <c r="AC403" s="9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10"/>
    </row>
    <row r="404" spans="2:52" ht="15.75" thickBot="1" x14ac:dyDescent="0.3">
      <c r="E404" s="11">
        <v>85</v>
      </c>
      <c r="F404" s="12"/>
      <c r="G404" s="12"/>
      <c r="H404" s="12"/>
      <c r="I404" s="12">
        <v>85</v>
      </c>
      <c r="J404" s="12"/>
      <c r="K404" s="12"/>
      <c r="L404" s="12"/>
      <c r="M404" s="12">
        <v>85</v>
      </c>
      <c r="N404" s="12"/>
      <c r="O404" s="12"/>
      <c r="P404" s="12"/>
      <c r="Q404" s="12">
        <v>85</v>
      </c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3"/>
    </row>
    <row r="406" spans="2:52" ht="15.75" thickBot="1" x14ac:dyDescent="0.3"/>
    <row r="407" spans="2:52" ht="15.75" thickBot="1" x14ac:dyDescent="0.3">
      <c r="C407" s="1">
        <v>50</v>
      </c>
      <c r="D407" s="14" t="s">
        <v>3</v>
      </c>
      <c r="E407" s="14"/>
      <c r="F407" s="14"/>
      <c r="G407" s="15" t="s">
        <v>4</v>
      </c>
      <c r="H407" s="15"/>
      <c r="I407" s="15"/>
      <c r="J407" s="15"/>
      <c r="K407" s="15"/>
      <c r="L407" s="15"/>
      <c r="M407" s="15" t="s">
        <v>5</v>
      </c>
      <c r="N407" s="15"/>
      <c r="AJ407" s="16" t="s">
        <v>6</v>
      </c>
      <c r="AK407" s="17"/>
      <c r="AL407" s="17"/>
      <c r="AM407" s="17"/>
      <c r="AO407" s="16" t="s">
        <v>7</v>
      </c>
      <c r="AP407" s="17"/>
      <c r="AQ407" s="17"/>
      <c r="AR407" s="17"/>
      <c r="AU407" s="39" t="s">
        <v>20</v>
      </c>
      <c r="AV407" s="40"/>
      <c r="AW407" s="40"/>
      <c r="AX407" s="40"/>
      <c r="AY407" s="40"/>
      <c r="AZ407" s="41"/>
    </row>
    <row r="408" spans="2:52" ht="15.75" thickBot="1" x14ac:dyDescent="0.3">
      <c r="D408" s="22">
        <v>4246</v>
      </c>
      <c r="E408" s="23"/>
      <c r="F408" s="24"/>
      <c r="G408" s="25">
        <v>43576</v>
      </c>
      <c r="H408" s="26"/>
      <c r="I408" s="26"/>
      <c r="J408" s="26"/>
      <c r="K408" s="26"/>
      <c r="L408" s="27"/>
      <c r="M408" s="28">
        <v>4</v>
      </c>
      <c r="N408" s="28"/>
      <c r="AJ408" s="29">
        <v>770</v>
      </c>
      <c r="AK408" s="30"/>
      <c r="AL408" s="30"/>
      <c r="AM408" s="30"/>
      <c r="AO408" s="42">
        <f>AJ408-E412-I412-M412-Q412-U412-Y412-AC412-AG412-AK412-AO412</f>
        <v>-2</v>
      </c>
      <c r="AP408" s="43"/>
      <c r="AQ408" s="43"/>
      <c r="AR408" s="43"/>
      <c r="AU408" s="44" t="s">
        <v>21</v>
      </c>
      <c r="AV408" s="45"/>
      <c r="AW408" s="45"/>
      <c r="AX408" s="45" t="s">
        <v>22</v>
      </c>
      <c r="AY408" s="45"/>
      <c r="AZ408" s="46"/>
    </row>
    <row r="409" spans="2:52" ht="15.75" thickBot="1" x14ac:dyDescent="0.3">
      <c r="AU409" s="47">
        <v>8</v>
      </c>
      <c r="AV409" s="48"/>
      <c r="AW409" s="48"/>
      <c r="AX409" s="48">
        <v>11</v>
      </c>
      <c r="AY409" s="48"/>
      <c r="AZ409" s="49"/>
    </row>
    <row r="410" spans="2:52" ht="15.75" thickBot="1" x14ac:dyDescent="0.3">
      <c r="E410" s="18" t="s">
        <v>8</v>
      </c>
      <c r="F410" s="8"/>
      <c r="G410" s="8"/>
      <c r="H410" s="8"/>
      <c r="I410" s="8" t="s">
        <v>9</v>
      </c>
      <c r="J410" s="8"/>
      <c r="K410" s="8"/>
      <c r="L410" s="8"/>
      <c r="M410" s="8" t="s">
        <v>10</v>
      </c>
      <c r="N410" s="8"/>
      <c r="O410" s="8"/>
      <c r="P410" s="8"/>
      <c r="Q410" s="8" t="s">
        <v>11</v>
      </c>
      <c r="R410" s="8"/>
      <c r="S410" s="8"/>
      <c r="T410" s="8"/>
      <c r="U410" s="8" t="s">
        <v>12</v>
      </c>
      <c r="V410" s="8"/>
      <c r="W410" s="8"/>
      <c r="X410" s="8"/>
      <c r="Y410" s="8" t="s">
        <v>13</v>
      </c>
      <c r="Z410" s="8"/>
      <c r="AA410" s="8"/>
      <c r="AB410" s="8"/>
      <c r="AC410" s="8" t="s">
        <v>14</v>
      </c>
      <c r="AD410" s="8"/>
      <c r="AE410" s="8"/>
      <c r="AF410" s="8"/>
      <c r="AG410" s="8" t="s">
        <v>15</v>
      </c>
      <c r="AH410" s="8"/>
      <c r="AI410" s="8"/>
      <c r="AJ410" s="8"/>
      <c r="AK410" s="8" t="s">
        <v>16</v>
      </c>
      <c r="AL410" s="8"/>
      <c r="AM410" s="8"/>
      <c r="AN410" s="8"/>
      <c r="AO410" s="8" t="s">
        <v>17</v>
      </c>
      <c r="AP410" s="8"/>
      <c r="AQ410" s="8"/>
      <c r="AR410" s="10"/>
    </row>
    <row r="411" spans="2:52" ht="15.75" thickBot="1" x14ac:dyDescent="0.3">
      <c r="B411" s="4" t="s">
        <v>19</v>
      </c>
      <c r="C411" s="5"/>
      <c r="D411" s="6"/>
      <c r="E411" s="7">
        <v>43585</v>
      </c>
      <c r="F411" s="8"/>
      <c r="G411" s="8"/>
      <c r="H411" s="8"/>
      <c r="I411" s="9">
        <v>43600</v>
      </c>
      <c r="J411" s="8"/>
      <c r="K411" s="8"/>
      <c r="L411" s="8"/>
      <c r="M411" s="9">
        <v>43615</v>
      </c>
      <c r="N411" s="8"/>
      <c r="O411" s="8"/>
      <c r="P411" s="8"/>
      <c r="Q411" s="9">
        <v>43631</v>
      </c>
      <c r="R411" s="8"/>
      <c r="S411" s="8"/>
      <c r="T411" s="8"/>
      <c r="U411" s="9"/>
      <c r="V411" s="8"/>
      <c r="W411" s="8"/>
      <c r="X411" s="8"/>
      <c r="Y411" s="9"/>
      <c r="Z411" s="8"/>
      <c r="AA411" s="8"/>
      <c r="AB411" s="8"/>
      <c r="AC411" s="9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10"/>
    </row>
    <row r="412" spans="2:52" ht="15.75" thickBot="1" x14ac:dyDescent="0.3">
      <c r="E412" s="11">
        <v>193</v>
      </c>
      <c r="F412" s="12"/>
      <c r="G412" s="12"/>
      <c r="H412" s="12"/>
      <c r="I412" s="12">
        <v>193</v>
      </c>
      <c r="J412" s="12"/>
      <c r="K412" s="12"/>
      <c r="L412" s="12"/>
      <c r="M412" s="12">
        <v>193</v>
      </c>
      <c r="N412" s="12"/>
      <c r="O412" s="12"/>
      <c r="P412" s="12"/>
      <c r="Q412" s="12">
        <v>193</v>
      </c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3"/>
    </row>
    <row r="414" spans="2:52" ht="15.75" thickBot="1" x14ac:dyDescent="0.3"/>
    <row r="415" spans="2:52" ht="15.75" thickBot="1" x14ac:dyDescent="0.3">
      <c r="C415" s="1">
        <v>51</v>
      </c>
      <c r="D415" s="14" t="s">
        <v>3</v>
      </c>
      <c r="E415" s="14"/>
      <c r="F415" s="14"/>
      <c r="G415" s="15" t="s">
        <v>4</v>
      </c>
      <c r="H415" s="15"/>
      <c r="I415" s="15"/>
      <c r="J415" s="15"/>
      <c r="K415" s="15"/>
      <c r="L415" s="15"/>
      <c r="M415" s="15" t="s">
        <v>5</v>
      </c>
      <c r="N415" s="15"/>
      <c r="AJ415" s="16" t="s">
        <v>6</v>
      </c>
      <c r="AK415" s="17"/>
      <c r="AL415" s="17"/>
      <c r="AM415" s="17"/>
      <c r="AO415" s="16" t="s">
        <v>7</v>
      </c>
      <c r="AP415" s="17"/>
      <c r="AQ415" s="17"/>
      <c r="AR415" s="17"/>
      <c r="AU415" s="39" t="s">
        <v>20</v>
      </c>
      <c r="AV415" s="40"/>
      <c r="AW415" s="40"/>
      <c r="AX415" s="40"/>
      <c r="AY415" s="40"/>
      <c r="AZ415" s="41"/>
    </row>
    <row r="416" spans="2:52" ht="15.75" thickBot="1" x14ac:dyDescent="0.3">
      <c r="D416" s="22">
        <v>4615</v>
      </c>
      <c r="E416" s="23"/>
      <c r="F416" s="24"/>
      <c r="G416" s="25">
        <v>43609</v>
      </c>
      <c r="H416" s="26"/>
      <c r="I416" s="26"/>
      <c r="J416" s="26"/>
      <c r="K416" s="26"/>
      <c r="L416" s="27"/>
      <c r="M416" s="28">
        <v>4</v>
      </c>
      <c r="N416" s="28"/>
      <c r="AJ416" s="29">
        <v>1220</v>
      </c>
      <c r="AK416" s="30"/>
      <c r="AL416" s="30"/>
      <c r="AM416" s="30"/>
      <c r="AO416" s="42">
        <f>AJ416-E420-I420-M420-Q420-U420-Y420-AC420-AG420-AK420-AO420</f>
        <v>-4</v>
      </c>
      <c r="AP416" s="43"/>
      <c r="AQ416" s="43"/>
      <c r="AR416" s="43"/>
      <c r="AU416" s="44" t="s">
        <v>21</v>
      </c>
      <c r="AV416" s="45"/>
      <c r="AW416" s="45"/>
      <c r="AX416" s="45" t="s">
        <v>22</v>
      </c>
      <c r="AY416" s="45"/>
      <c r="AZ416" s="46"/>
    </row>
    <row r="417" spans="2:52" ht="15.75" thickBot="1" x14ac:dyDescent="0.3">
      <c r="AU417" s="47">
        <v>11</v>
      </c>
      <c r="AV417" s="48"/>
      <c r="AW417" s="48"/>
      <c r="AX417" s="48">
        <v>14</v>
      </c>
      <c r="AY417" s="48"/>
      <c r="AZ417" s="49"/>
    </row>
    <row r="418" spans="2:52" ht="15.75" thickBot="1" x14ac:dyDescent="0.3">
      <c r="E418" s="18" t="s">
        <v>8</v>
      </c>
      <c r="F418" s="8"/>
      <c r="G418" s="8"/>
      <c r="H418" s="8"/>
      <c r="I418" s="8" t="s">
        <v>9</v>
      </c>
      <c r="J418" s="8"/>
      <c r="K418" s="8"/>
      <c r="L418" s="8"/>
      <c r="M418" s="8" t="s">
        <v>10</v>
      </c>
      <c r="N418" s="8"/>
      <c r="O418" s="8"/>
      <c r="P418" s="8"/>
      <c r="Q418" s="8" t="s">
        <v>11</v>
      </c>
      <c r="R418" s="8"/>
      <c r="S418" s="8"/>
      <c r="T418" s="8"/>
      <c r="U418" s="8" t="s">
        <v>12</v>
      </c>
      <c r="V418" s="8"/>
      <c r="W418" s="8"/>
      <c r="X418" s="8"/>
      <c r="Y418" s="8" t="s">
        <v>13</v>
      </c>
      <c r="Z418" s="8"/>
      <c r="AA418" s="8"/>
      <c r="AB418" s="8"/>
      <c r="AC418" s="8" t="s">
        <v>14</v>
      </c>
      <c r="AD418" s="8"/>
      <c r="AE418" s="8"/>
      <c r="AF418" s="8"/>
      <c r="AG418" s="8" t="s">
        <v>15</v>
      </c>
      <c r="AH418" s="8"/>
      <c r="AI418" s="8"/>
      <c r="AJ418" s="8"/>
      <c r="AK418" s="8" t="s">
        <v>16</v>
      </c>
      <c r="AL418" s="8"/>
      <c r="AM418" s="8"/>
      <c r="AN418" s="8"/>
      <c r="AO418" s="8" t="s">
        <v>17</v>
      </c>
      <c r="AP418" s="8"/>
      <c r="AQ418" s="8"/>
      <c r="AR418" s="10"/>
    </row>
    <row r="419" spans="2:52" ht="15.75" thickBot="1" x14ac:dyDescent="0.3">
      <c r="B419" s="4" t="s">
        <v>19</v>
      </c>
      <c r="C419" s="5"/>
      <c r="D419" s="6"/>
      <c r="E419" s="7">
        <v>43631</v>
      </c>
      <c r="F419" s="8"/>
      <c r="G419" s="8"/>
      <c r="H419" s="8"/>
      <c r="I419" s="9">
        <v>43646</v>
      </c>
      <c r="J419" s="8"/>
      <c r="K419" s="8"/>
      <c r="L419" s="8"/>
      <c r="M419" s="9">
        <v>43661</v>
      </c>
      <c r="N419" s="8"/>
      <c r="O419" s="8"/>
      <c r="P419" s="8"/>
      <c r="Q419" s="9">
        <v>43676</v>
      </c>
      <c r="R419" s="8"/>
      <c r="S419" s="8"/>
      <c r="T419" s="8"/>
      <c r="U419" s="9">
        <v>43691</v>
      </c>
      <c r="V419" s="8"/>
      <c r="W419" s="8"/>
      <c r="X419" s="8"/>
      <c r="Y419" s="9">
        <v>43708</v>
      </c>
      <c r="Z419" s="8"/>
      <c r="AA419" s="8"/>
      <c r="AB419" s="8"/>
      <c r="AC419" s="9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10"/>
    </row>
    <row r="420" spans="2:52" ht="15.75" thickBot="1" x14ac:dyDescent="0.3">
      <c r="E420" s="11">
        <v>204</v>
      </c>
      <c r="F420" s="12"/>
      <c r="G420" s="12"/>
      <c r="H420" s="12"/>
      <c r="I420" s="12">
        <v>204</v>
      </c>
      <c r="J420" s="12"/>
      <c r="K420" s="12"/>
      <c r="L420" s="12"/>
      <c r="M420" s="12">
        <v>204</v>
      </c>
      <c r="N420" s="12"/>
      <c r="O420" s="12"/>
      <c r="P420" s="12"/>
      <c r="Q420" s="12">
        <v>204</v>
      </c>
      <c r="R420" s="12"/>
      <c r="S420" s="12"/>
      <c r="T420" s="12"/>
      <c r="U420" s="12">
        <v>204</v>
      </c>
      <c r="V420" s="12"/>
      <c r="W420" s="12"/>
      <c r="X420" s="12"/>
      <c r="Y420" s="12">
        <v>204</v>
      </c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3"/>
    </row>
    <row r="422" spans="2:52" ht="15.75" thickBot="1" x14ac:dyDescent="0.3"/>
    <row r="423" spans="2:52" ht="15.75" thickBot="1" x14ac:dyDescent="0.3">
      <c r="C423" s="1">
        <v>52</v>
      </c>
      <c r="D423" s="14" t="s">
        <v>3</v>
      </c>
      <c r="E423" s="14"/>
      <c r="F423" s="14"/>
      <c r="G423" s="15" t="s">
        <v>4</v>
      </c>
      <c r="H423" s="15"/>
      <c r="I423" s="15"/>
      <c r="J423" s="15"/>
      <c r="K423" s="15"/>
      <c r="L423" s="15"/>
      <c r="M423" s="15" t="s">
        <v>5</v>
      </c>
      <c r="N423" s="15"/>
      <c r="AJ423" s="16" t="s">
        <v>6</v>
      </c>
      <c r="AK423" s="17"/>
      <c r="AL423" s="17"/>
      <c r="AM423" s="17"/>
      <c r="AO423" s="16" t="s">
        <v>7</v>
      </c>
      <c r="AP423" s="17"/>
      <c r="AQ423" s="17"/>
      <c r="AR423" s="17"/>
      <c r="AU423" s="39" t="s">
        <v>20</v>
      </c>
      <c r="AV423" s="40"/>
      <c r="AW423" s="40"/>
      <c r="AX423" s="40"/>
      <c r="AY423" s="40"/>
      <c r="AZ423" s="41"/>
    </row>
    <row r="424" spans="2:52" ht="15.75" thickBot="1" x14ac:dyDescent="0.3">
      <c r="D424" s="22">
        <v>4885</v>
      </c>
      <c r="E424" s="23"/>
      <c r="F424" s="24"/>
      <c r="G424" s="25">
        <v>43615</v>
      </c>
      <c r="H424" s="26"/>
      <c r="I424" s="26"/>
      <c r="J424" s="26"/>
      <c r="K424" s="26"/>
      <c r="L424" s="27"/>
      <c r="M424" s="28">
        <v>3</v>
      </c>
      <c r="N424" s="28"/>
      <c r="AJ424" s="29">
        <v>620</v>
      </c>
      <c r="AK424" s="30"/>
      <c r="AL424" s="30"/>
      <c r="AM424" s="30"/>
      <c r="AO424" s="42">
        <f>AJ424-E428-I428-M428-Q428-U428-Y428-AC428-AG428-AK428-AO428</f>
        <v>0</v>
      </c>
      <c r="AP424" s="43"/>
      <c r="AQ424" s="43"/>
      <c r="AR424" s="43"/>
      <c r="AU424" s="44" t="s">
        <v>21</v>
      </c>
      <c r="AV424" s="45"/>
      <c r="AW424" s="45"/>
      <c r="AX424" s="45" t="s">
        <v>22</v>
      </c>
      <c r="AY424" s="45"/>
      <c r="AZ424" s="46"/>
    </row>
    <row r="425" spans="2:52" ht="15.75" thickBot="1" x14ac:dyDescent="0.3">
      <c r="AU425" s="47">
        <v>13</v>
      </c>
      <c r="AV425" s="48"/>
      <c r="AW425" s="48"/>
      <c r="AX425" s="48">
        <v>15</v>
      </c>
      <c r="AY425" s="48"/>
      <c r="AZ425" s="49"/>
    </row>
    <row r="426" spans="2:52" ht="15.75" thickBot="1" x14ac:dyDescent="0.3">
      <c r="E426" s="18" t="s">
        <v>8</v>
      </c>
      <c r="F426" s="8"/>
      <c r="G426" s="8"/>
      <c r="H426" s="8"/>
      <c r="I426" s="8" t="s">
        <v>9</v>
      </c>
      <c r="J426" s="8"/>
      <c r="K426" s="8"/>
      <c r="L426" s="8"/>
      <c r="M426" s="8" t="s">
        <v>10</v>
      </c>
      <c r="N426" s="8"/>
      <c r="O426" s="8"/>
      <c r="P426" s="8"/>
      <c r="Q426" s="8" t="s">
        <v>11</v>
      </c>
      <c r="R426" s="8"/>
      <c r="S426" s="8"/>
      <c r="T426" s="8"/>
      <c r="U426" s="8" t="s">
        <v>12</v>
      </c>
      <c r="V426" s="8"/>
      <c r="W426" s="8"/>
      <c r="X426" s="8"/>
      <c r="Y426" s="8" t="s">
        <v>13</v>
      </c>
      <c r="Z426" s="8"/>
      <c r="AA426" s="8"/>
      <c r="AB426" s="8"/>
      <c r="AC426" s="8" t="s">
        <v>14</v>
      </c>
      <c r="AD426" s="8"/>
      <c r="AE426" s="8"/>
      <c r="AF426" s="8"/>
      <c r="AG426" s="8" t="s">
        <v>15</v>
      </c>
      <c r="AH426" s="8"/>
      <c r="AI426" s="8"/>
      <c r="AJ426" s="8"/>
      <c r="AK426" s="8" t="s">
        <v>16</v>
      </c>
      <c r="AL426" s="8"/>
      <c r="AM426" s="8"/>
      <c r="AN426" s="8"/>
      <c r="AO426" s="8" t="s">
        <v>17</v>
      </c>
      <c r="AP426" s="8"/>
      <c r="AQ426" s="8"/>
      <c r="AR426" s="10"/>
    </row>
    <row r="427" spans="2:52" ht="15.75" thickBot="1" x14ac:dyDescent="0.3">
      <c r="B427" s="4" t="s">
        <v>19</v>
      </c>
      <c r="C427" s="5"/>
      <c r="D427" s="6"/>
      <c r="E427" s="7">
        <v>43661</v>
      </c>
      <c r="F427" s="8"/>
      <c r="G427" s="8"/>
      <c r="H427" s="8"/>
      <c r="I427" s="9">
        <v>155</v>
      </c>
      <c r="J427" s="8"/>
      <c r="K427" s="8"/>
      <c r="L427" s="8"/>
      <c r="M427" s="9">
        <v>43691</v>
      </c>
      <c r="N427" s="8"/>
      <c r="O427" s="8"/>
      <c r="P427" s="8"/>
      <c r="Q427" s="9">
        <v>43708</v>
      </c>
      <c r="R427" s="8"/>
      <c r="S427" s="8"/>
      <c r="T427" s="8"/>
      <c r="U427" s="9"/>
      <c r="V427" s="8"/>
      <c r="W427" s="8"/>
      <c r="X427" s="8"/>
      <c r="Y427" s="9"/>
      <c r="Z427" s="8"/>
      <c r="AA427" s="8"/>
      <c r="AB427" s="8"/>
      <c r="AC427" s="9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10"/>
    </row>
    <row r="428" spans="2:52" ht="15.75" thickBot="1" x14ac:dyDescent="0.3">
      <c r="E428" s="11">
        <v>155</v>
      </c>
      <c r="F428" s="12"/>
      <c r="G428" s="12"/>
      <c r="H428" s="12"/>
      <c r="I428" s="12">
        <v>155</v>
      </c>
      <c r="J428" s="12"/>
      <c r="K428" s="12"/>
      <c r="L428" s="12"/>
      <c r="M428" s="12">
        <v>155</v>
      </c>
      <c r="N428" s="12"/>
      <c r="O428" s="12"/>
      <c r="P428" s="12"/>
      <c r="Q428" s="12">
        <v>155</v>
      </c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3"/>
    </row>
    <row r="430" spans="2:52" ht="15.75" thickBot="1" x14ac:dyDescent="0.3"/>
    <row r="431" spans="2:52" ht="15.75" thickBot="1" x14ac:dyDescent="0.3">
      <c r="C431" s="1">
        <v>53</v>
      </c>
      <c r="D431" s="14" t="s">
        <v>3</v>
      </c>
      <c r="E431" s="14"/>
      <c r="F431" s="14"/>
      <c r="G431" s="15" t="s">
        <v>4</v>
      </c>
      <c r="H431" s="15"/>
      <c r="I431" s="15"/>
      <c r="J431" s="15"/>
      <c r="K431" s="15"/>
      <c r="L431" s="15"/>
      <c r="M431" s="15" t="s">
        <v>5</v>
      </c>
      <c r="N431" s="15"/>
      <c r="AJ431" s="16" t="s">
        <v>6</v>
      </c>
      <c r="AK431" s="17"/>
      <c r="AL431" s="17"/>
      <c r="AM431" s="17"/>
      <c r="AO431" s="16" t="s">
        <v>7</v>
      </c>
      <c r="AP431" s="17"/>
      <c r="AQ431" s="17"/>
      <c r="AR431" s="17"/>
      <c r="AU431" s="39" t="s">
        <v>20</v>
      </c>
      <c r="AV431" s="40"/>
      <c r="AW431" s="40"/>
      <c r="AX431" s="40"/>
      <c r="AY431" s="40"/>
      <c r="AZ431" s="41"/>
    </row>
    <row r="432" spans="2:52" ht="15.75" thickBot="1" x14ac:dyDescent="0.3">
      <c r="D432" s="22">
        <v>5963</v>
      </c>
      <c r="E432" s="23"/>
      <c r="F432" s="24"/>
      <c r="G432" s="25">
        <v>43704</v>
      </c>
      <c r="H432" s="26"/>
      <c r="I432" s="26"/>
      <c r="J432" s="26"/>
      <c r="K432" s="26"/>
      <c r="L432" s="27"/>
      <c r="M432" s="28">
        <v>4</v>
      </c>
      <c r="N432" s="28"/>
      <c r="AJ432" s="29">
        <v>760</v>
      </c>
      <c r="AK432" s="30"/>
      <c r="AL432" s="30"/>
      <c r="AM432" s="30"/>
      <c r="AO432" s="42">
        <f>AJ432-E436-I436-M436-Q436-U436-Y436-AC436-AG436-AK436-AO436</f>
        <v>0</v>
      </c>
      <c r="AP432" s="43"/>
      <c r="AQ432" s="43"/>
      <c r="AR432" s="43"/>
      <c r="AU432" s="44" t="s">
        <v>21</v>
      </c>
      <c r="AV432" s="45"/>
      <c r="AW432" s="45"/>
      <c r="AX432" s="45" t="s">
        <v>22</v>
      </c>
      <c r="AY432" s="45"/>
      <c r="AZ432" s="46"/>
    </row>
    <row r="433" spans="2:52" ht="15.75" thickBot="1" x14ac:dyDescent="0.3">
      <c r="AU433" s="47">
        <v>17</v>
      </c>
      <c r="AV433" s="48"/>
      <c r="AW433" s="48"/>
      <c r="AX433" s="48">
        <v>20</v>
      </c>
      <c r="AY433" s="48"/>
      <c r="AZ433" s="49"/>
    </row>
    <row r="434" spans="2:52" ht="15.75" thickBot="1" x14ac:dyDescent="0.3">
      <c r="E434" s="18" t="s">
        <v>8</v>
      </c>
      <c r="F434" s="8"/>
      <c r="G434" s="8"/>
      <c r="H434" s="8"/>
      <c r="I434" s="8" t="s">
        <v>9</v>
      </c>
      <c r="J434" s="8"/>
      <c r="K434" s="8"/>
      <c r="L434" s="8"/>
      <c r="M434" s="8" t="s">
        <v>10</v>
      </c>
      <c r="N434" s="8"/>
      <c r="O434" s="8"/>
      <c r="P434" s="8"/>
      <c r="Q434" s="8" t="s">
        <v>11</v>
      </c>
      <c r="R434" s="8"/>
      <c r="S434" s="8"/>
      <c r="T434" s="8"/>
      <c r="U434" s="8" t="s">
        <v>12</v>
      </c>
      <c r="V434" s="8"/>
      <c r="W434" s="8"/>
      <c r="X434" s="8"/>
      <c r="Y434" s="8" t="s">
        <v>13</v>
      </c>
      <c r="Z434" s="8"/>
      <c r="AA434" s="8"/>
      <c r="AB434" s="8"/>
      <c r="AC434" s="8" t="s">
        <v>14</v>
      </c>
      <c r="AD434" s="8"/>
      <c r="AE434" s="8"/>
      <c r="AF434" s="8"/>
      <c r="AG434" s="8" t="s">
        <v>15</v>
      </c>
      <c r="AH434" s="8"/>
      <c r="AI434" s="8"/>
      <c r="AJ434" s="8"/>
      <c r="AK434" s="8" t="s">
        <v>16</v>
      </c>
      <c r="AL434" s="8"/>
      <c r="AM434" s="8"/>
      <c r="AN434" s="8"/>
      <c r="AO434" s="8" t="s">
        <v>17</v>
      </c>
      <c r="AP434" s="8"/>
      <c r="AQ434" s="8"/>
      <c r="AR434" s="10"/>
    </row>
    <row r="435" spans="2:52" ht="15.75" thickBot="1" x14ac:dyDescent="0.3">
      <c r="B435" s="4" t="s">
        <v>19</v>
      </c>
      <c r="C435" s="5"/>
      <c r="D435" s="6"/>
      <c r="E435" s="7">
        <v>43723</v>
      </c>
      <c r="F435" s="8"/>
      <c r="G435" s="8"/>
      <c r="H435" s="8"/>
      <c r="I435" s="9">
        <v>43738</v>
      </c>
      <c r="J435" s="8"/>
      <c r="K435" s="8"/>
      <c r="L435" s="8"/>
      <c r="M435" s="9">
        <v>43753</v>
      </c>
      <c r="N435" s="8"/>
      <c r="O435" s="8"/>
      <c r="P435" s="8"/>
      <c r="Q435" s="9">
        <v>43768</v>
      </c>
      <c r="R435" s="8"/>
      <c r="S435" s="8"/>
      <c r="T435" s="8"/>
      <c r="U435" s="9"/>
      <c r="V435" s="8"/>
      <c r="W435" s="8"/>
      <c r="X435" s="8"/>
      <c r="Y435" s="9"/>
      <c r="Z435" s="8"/>
      <c r="AA435" s="8"/>
      <c r="AB435" s="8"/>
      <c r="AC435" s="9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10"/>
    </row>
    <row r="436" spans="2:52" ht="15.75" thickBot="1" x14ac:dyDescent="0.3">
      <c r="E436" s="11">
        <v>190</v>
      </c>
      <c r="F436" s="12"/>
      <c r="G436" s="12"/>
      <c r="H436" s="12"/>
      <c r="I436" s="12">
        <v>190</v>
      </c>
      <c r="J436" s="12"/>
      <c r="K436" s="12"/>
      <c r="L436" s="12"/>
      <c r="M436" s="12">
        <v>190</v>
      </c>
      <c r="N436" s="12"/>
      <c r="O436" s="12"/>
      <c r="P436" s="12"/>
      <c r="Q436" s="12">
        <v>190</v>
      </c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3"/>
    </row>
    <row r="438" spans="2:52" ht="15.75" thickBot="1" x14ac:dyDescent="0.3"/>
    <row r="439" spans="2:52" ht="15.75" thickBot="1" x14ac:dyDescent="0.3">
      <c r="C439" s="1">
        <v>54</v>
      </c>
      <c r="D439" s="14" t="s">
        <v>3</v>
      </c>
      <c r="E439" s="14"/>
      <c r="F439" s="14"/>
      <c r="G439" s="15" t="s">
        <v>4</v>
      </c>
      <c r="H439" s="15"/>
      <c r="I439" s="15"/>
      <c r="J439" s="15"/>
      <c r="K439" s="15"/>
      <c r="L439" s="15"/>
      <c r="M439" s="15" t="s">
        <v>5</v>
      </c>
      <c r="N439" s="15"/>
      <c r="AJ439" s="16" t="s">
        <v>6</v>
      </c>
      <c r="AK439" s="17"/>
      <c r="AL439" s="17"/>
      <c r="AM439" s="17"/>
      <c r="AO439" s="16" t="s">
        <v>7</v>
      </c>
      <c r="AP439" s="17"/>
      <c r="AQ439" s="17"/>
      <c r="AR439" s="17"/>
      <c r="AU439" s="39" t="s">
        <v>20</v>
      </c>
      <c r="AV439" s="40"/>
      <c r="AW439" s="40"/>
      <c r="AX439" s="40"/>
      <c r="AY439" s="40"/>
      <c r="AZ439" s="41"/>
    </row>
    <row r="440" spans="2:52" ht="15.75" thickBot="1" x14ac:dyDescent="0.3">
      <c r="D440" s="22">
        <v>6344</v>
      </c>
      <c r="E440" s="23"/>
      <c r="F440" s="24"/>
      <c r="G440" s="25">
        <v>43731</v>
      </c>
      <c r="H440" s="26"/>
      <c r="I440" s="26"/>
      <c r="J440" s="26"/>
      <c r="K440" s="26"/>
      <c r="L440" s="27"/>
      <c r="M440" s="28">
        <v>4</v>
      </c>
      <c r="N440" s="28"/>
      <c r="AJ440" s="29">
        <v>800</v>
      </c>
      <c r="AK440" s="30"/>
      <c r="AL440" s="30"/>
      <c r="AM440" s="30"/>
      <c r="AO440" s="42">
        <f>AJ440-E444-I444-M444-Q444-U444-Y44-AC444-AG444-AK444-AO444</f>
        <v>0</v>
      </c>
      <c r="AP440" s="43"/>
      <c r="AQ440" s="43"/>
      <c r="AR440" s="43"/>
      <c r="AU440" s="44" t="s">
        <v>21</v>
      </c>
      <c r="AV440" s="45"/>
      <c r="AW440" s="45"/>
      <c r="AX440" s="45" t="s">
        <v>22</v>
      </c>
      <c r="AY440" s="45"/>
      <c r="AZ440" s="46"/>
    </row>
    <row r="441" spans="2:52" ht="15.75" thickBot="1" x14ac:dyDescent="0.3">
      <c r="AU441" s="47">
        <v>19</v>
      </c>
      <c r="AV441" s="48"/>
      <c r="AW441" s="48"/>
      <c r="AX441" s="48">
        <v>22</v>
      </c>
      <c r="AY441" s="48"/>
      <c r="AZ441" s="49"/>
    </row>
    <row r="442" spans="2:52" ht="15.75" thickBot="1" x14ac:dyDescent="0.3">
      <c r="E442" s="18" t="s">
        <v>8</v>
      </c>
      <c r="F442" s="8"/>
      <c r="G442" s="8"/>
      <c r="H442" s="8"/>
      <c r="I442" s="8" t="s">
        <v>9</v>
      </c>
      <c r="J442" s="8"/>
      <c r="K442" s="8"/>
      <c r="L442" s="8"/>
      <c r="M442" s="8" t="s">
        <v>10</v>
      </c>
      <c r="N442" s="8"/>
      <c r="O442" s="8"/>
      <c r="P442" s="8"/>
      <c r="Q442" s="8" t="s">
        <v>11</v>
      </c>
      <c r="R442" s="8"/>
      <c r="S442" s="8"/>
      <c r="T442" s="8"/>
      <c r="U442" s="8" t="s">
        <v>12</v>
      </c>
      <c r="V442" s="8"/>
      <c r="W442" s="8"/>
      <c r="X442" s="8"/>
      <c r="Y442" s="8" t="s">
        <v>13</v>
      </c>
      <c r="Z442" s="8"/>
      <c r="AA442" s="8"/>
      <c r="AB442" s="8"/>
      <c r="AC442" s="8" t="s">
        <v>14</v>
      </c>
      <c r="AD442" s="8"/>
      <c r="AE442" s="8"/>
      <c r="AF442" s="8"/>
      <c r="AG442" s="8" t="s">
        <v>15</v>
      </c>
      <c r="AH442" s="8"/>
      <c r="AI442" s="8"/>
      <c r="AJ442" s="8"/>
      <c r="AK442" s="8" t="s">
        <v>16</v>
      </c>
      <c r="AL442" s="8"/>
      <c r="AM442" s="8"/>
      <c r="AN442" s="8"/>
      <c r="AO442" s="8" t="s">
        <v>17</v>
      </c>
      <c r="AP442" s="8"/>
      <c r="AQ442" s="8"/>
      <c r="AR442" s="10"/>
    </row>
    <row r="443" spans="2:52" ht="15.75" thickBot="1" x14ac:dyDescent="0.3">
      <c r="B443" s="4" t="s">
        <v>19</v>
      </c>
      <c r="C443" s="5"/>
      <c r="D443" s="6"/>
      <c r="E443" s="7">
        <v>43738</v>
      </c>
      <c r="F443" s="8"/>
      <c r="G443" s="8"/>
      <c r="H443" s="8"/>
      <c r="I443" s="9">
        <v>43753</v>
      </c>
      <c r="J443" s="8"/>
      <c r="K443" s="8"/>
      <c r="L443" s="8"/>
      <c r="M443" s="9">
        <v>43768</v>
      </c>
      <c r="N443" s="8"/>
      <c r="O443" s="8"/>
      <c r="P443" s="8"/>
      <c r="Q443" s="9">
        <v>43784</v>
      </c>
      <c r="R443" s="8"/>
      <c r="S443" s="8"/>
      <c r="T443" s="8"/>
      <c r="U443" s="9"/>
      <c r="V443" s="8"/>
      <c r="W443" s="8"/>
      <c r="X443" s="8"/>
      <c r="Y443" s="9"/>
      <c r="Z443" s="8"/>
      <c r="AA443" s="8"/>
      <c r="AB443" s="8"/>
      <c r="AC443" s="9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10"/>
    </row>
    <row r="444" spans="2:52" ht="15.75" thickBot="1" x14ac:dyDescent="0.3">
      <c r="E444" s="11">
        <v>200</v>
      </c>
      <c r="F444" s="12"/>
      <c r="G444" s="12"/>
      <c r="H444" s="12"/>
      <c r="I444" s="12">
        <v>200</v>
      </c>
      <c r="J444" s="12"/>
      <c r="K444" s="12"/>
      <c r="L444" s="12"/>
      <c r="M444" s="12">
        <v>200</v>
      </c>
      <c r="N444" s="12"/>
      <c r="O444" s="12"/>
      <c r="P444" s="12"/>
      <c r="Q444" s="12">
        <v>200</v>
      </c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3"/>
    </row>
    <row r="446" spans="2:52" ht="15.75" thickBot="1" x14ac:dyDescent="0.3"/>
    <row r="447" spans="2:52" ht="15.75" thickBot="1" x14ac:dyDescent="0.3">
      <c r="C447" s="1">
        <v>55</v>
      </c>
      <c r="D447" s="14" t="s">
        <v>3</v>
      </c>
      <c r="E447" s="14"/>
      <c r="F447" s="14"/>
      <c r="G447" s="15" t="s">
        <v>4</v>
      </c>
      <c r="H447" s="15"/>
      <c r="I447" s="15"/>
      <c r="J447" s="15"/>
      <c r="K447" s="15"/>
      <c r="L447" s="15"/>
      <c r="M447" s="15" t="s">
        <v>5</v>
      </c>
      <c r="N447" s="15"/>
      <c r="AJ447" s="16" t="s">
        <v>6</v>
      </c>
      <c r="AK447" s="17"/>
      <c r="AL447" s="17"/>
      <c r="AM447" s="17"/>
      <c r="AO447" s="16" t="s">
        <v>7</v>
      </c>
      <c r="AP447" s="17"/>
      <c r="AQ447" s="17"/>
      <c r="AR447" s="17"/>
      <c r="AU447" s="39" t="s">
        <v>20</v>
      </c>
      <c r="AV447" s="40"/>
      <c r="AW447" s="40"/>
      <c r="AX447" s="40"/>
      <c r="AY447" s="40"/>
      <c r="AZ447" s="41"/>
    </row>
    <row r="448" spans="2:52" ht="15.75" thickBot="1" x14ac:dyDescent="0.3">
      <c r="D448" s="22">
        <v>6779</v>
      </c>
      <c r="E448" s="23"/>
      <c r="F448" s="24"/>
      <c r="G448" s="25">
        <v>43762</v>
      </c>
      <c r="H448" s="26"/>
      <c r="I448" s="26"/>
      <c r="J448" s="26"/>
      <c r="K448" s="26"/>
      <c r="L448" s="27"/>
      <c r="M448" s="28">
        <v>3</v>
      </c>
      <c r="N448" s="28"/>
      <c r="AJ448" s="29">
        <v>800</v>
      </c>
      <c r="AK448" s="30"/>
      <c r="AL448" s="30"/>
      <c r="AM448" s="30"/>
      <c r="AO448" s="42">
        <f>AJ448-E452-I452-M452-Q452-U452-Y52-AC452-AG452-AK452-AO452</f>
        <v>0</v>
      </c>
      <c r="AP448" s="43"/>
      <c r="AQ448" s="43"/>
      <c r="AR448" s="43"/>
      <c r="AU448" s="44" t="s">
        <v>21</v>
      </c>
      <c r="AV448" s="45"/>
      <c r="AW448" s="45"/>
      <c r="AX448" s="45" t="s">
        <v>22</v>
      </c>
      <c r="AY448" s="45"/>
      <c r="AZ448" s="46"/>
    </row>
    <row r="449" spans="2:52" ht="15.75" thickBot="1" x14ac:dyDescent="0.3">
      <c r="AU449" s="47">
        <v>21</v>
      </c>
      <c r="AV449" s="48"/>
      <c r="AW449" s="48"/>
      <c r="AX449" s="48">
        <v>23</v>
      </c>
      <c r="AY449" s="48"/>
      <c r="AZ449" s="49"/>
    </row>
    <row r="450" spans="2:52" ht="15.75" thickBot="1" x14ac:dyDescent="0.3">
      <c r="E450" s="18" t="s">
        <v>8</v>
      </c>
      <c r="F450" s="8"/>
      <c r="G450" s="8"/>
      <c r="H450" s="8"/>
      <c r="I450" s="8" t="s">
        <v>9</v>
      </c>
      <c r="J450" s="8"/>
      <c r="K450" s="8"/>
      <c r="L450" s="8"/>
      <c r="M450" s="8" t="s">
        <v>10</v>
      </c>
      <c r="N450" s="8"/>
      <c r="O450" s="8"/>
      <c r="P450" s="8"/>
      <c r="Q450" s="8" t="s">
        <v>11</v>
      </c>
      <c r="R450" s="8"/>
      <c r="S450" s="8"/>
      <c r="T450" s="8"/>
      <c r="U450" s="8" t="s">
        <v>12</v>
      </c>
      <c r="V450" s="8"/>
      <c r="W450" s="8"/>
      <c r="X450" s="8"/>
      <c r="Y450" s="8" t="s">
        <v>13</v>
      </c>
      <c r="Z450" s="8"/>
      <c r="AA450" s="8"/>
      <c r="AB450" s="8"/>
      <c r="AC450" s="8" t="s">
        <v>14</v>
      </c>
      <c r="AD450" s="8"/>
      <c r="AE450" s="8"/>
      <c r="AF450" s="8"/>
      <c r="AG450" s="8" t="s">
        <v>15</v>
      </c>
      <c r="AH450" s="8"/>
      <c r="AI450" s="8"/>
      <c r="AJ450" s="8"/>
      <c r="AK450" s="8" t="s">
        <v>16</v>
      </c>
      <c r="AL450" s="8"/>
      <c r="AM450" s="8"/>
      <c r="AN450" s="8"/>
      <c r="AO450" s="8" t="s">
        <v>17</v>
      </c>
      <c r="AP450" s="8"/>
      <c r="AQ450" s="8"/>
      <c r="AR450" s="10"/>
    </row>
    <row r="451" spans="2:52" ht="15.75" thickBot="1" x14ac:dyDescent="0.3">
      <c r="B451" s="4" t="s">
        <v>19</v>
      </c>
      <c r="C451" s="5"/>
      <c r="D451" s="6"/>
      <c r="E451" s="7">
        <v>43784</v>
      </c>
      <c r="F451" s="8"/>
      <c r="G451" s="8"/>
      <c r="H451" s="8"/>
      <c r="I451" s="9">
        <v>43800</v>
      </c>
      <c r="J451" s="8"/>
      <c r="K451" s="8"/>
      <c r="L451" s="8"/>
      <c r="M451" s="9">
        <v>43814</v>
      </c>
      <c r="N451" s="8"/>
      <c r="O451" s="8"/>
      <c r="P451" s="8"/>
      <c r="Q451" s="9">
        <v>43829</v>
      </c>
      <c r="R451" s="8"/>
      <c r="S451" s="8"/>
      <c r="T451" s="8"/>
      <c r="U451" s="9"/>
      <c r="V451" s="8"/>
      <c r="W451" s="8"/>
      <c r="X451" s="8"/>
      <c r="Y451" s="9"/>
      <c r="Z451" s="8"/>
      <c r="AA451" s="8"/>
      <c r="AB451" s="8"/>
      <c r="AC451" s="9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10"/>
    </row>
    <row r="452" spans="2:52" ht="15.75" thickBot="1" x14ac:dyDescent="0.3">
      <c r="E452" s="11">
        <v>200</v>
      </c>
      <c r="F452" s="12"/>
      <c r="G452" s="12"/>
      <c r="H452" s="12"/>
      <c r="I452" s="12">
        <v>200</v>
      </c>
      <c r="J452" s="12"/>
      <c r="K452" s="12"/>
      <c r="L452" s="12"/>
      <c r="M452" s="12">
        <v>200</v>
      </c>
      <c r="N452" s="12"/>
      <c r="O452" s="12"/>
      <c r="P452" s="12"/>
      <c r="Q452" s="12">
        <v>200</v>
      </c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3"/>
    </row>
    <row r="454" spans="2:52" ht="15.75" thickBot="1" x14ac:dyDescent="0.3"/>
    <row r="455" spans="2:52" ht="15.75" thickBot="1" x14ac:dyDescent="0.3">
      <c r="C455" s="1">
        <v>56</v>
      </c>
      <c r="D455" s="14" t="s">
        <v>3</v>
      </c>
      <c r="E455" s="14"/>
      <c r="F455" s="14"/>
      <c r="G455" s="15" t="s">
        <v>4</v>
      </c>
      <c r="H455" s="15"/>
      <c r="I455" s="15"/>
      <c r="J455" s="15"/>
      <c r="K455" s="15"/>
      <c r="L455" s="15"/>
      <c r="M455" s="15" t="s">
        <v>5</v>
      </c>
      <c r="N455" s="15"/>
      <c r="AJ455" s="16" t="s">
        <v>6</v>
      </c>
      <c r="AK455" s="17"/>
      <c r="AL455" s="17"/>
      <c r="AM455" s="17"/>
      <c r="AO455" s="16" t="s">
        <v>7</v>
      </c>
      <c r="AP455" s="17"/>
      <c r="AQ455" s="17"/>
      <c r="AR455" s="17"/>
      <c r="AU455" s="39" t="s">
        <v>20</v>
      </c>
      <c r="AV455" s="40"/>
      <c r="AW455" s="40"/>
      <c r="AX455" s="40"/>
      <c r="AY455" s="40"/>
      <c r="AZ455" s="41"/>
    </row>
    <row r="456" spans="2:52" ht="15.75" thickBot="1" x14ac:dyDescent="0.3">
      <c r="D456" s="22">
        <v>7091</v>
      </c>
      <c r="E456" s="23"/>
      <c r="F456" s="24"/>
      <c r="G456" s="25">
        <v>43788</v>
      </c>
      <c r="H456" s="26"/>
      <c r="I456" s="26"/>
      <c r="J456" s="26"/>
      <c r="K456" s="26"/>
      <c r="L456" s="27"/>
      <c r="M456" s="28">
        <v>5</v>
      </c>
      <c r="N456" s="28"/>
      <c r="AJ456" s="29">
        <v>1250</v>
      </c>
      <c r="AK456" s="30"/>
      <c r="AL456" s="30"/>
      <c r="AM456" s="30"/>
      <c r="AO456" s="42">
        <f>AJ456-E460-I460-M460-Q460-U460-Y60-AC460-AG460-AK460-AO460</f>
        <v>0</v>
      </c>
      <c r="AP456" s="43"/>
      <c r="AQ456" s="43"/>
      <c r="AR456" s="43"/>
      <c r="AU456" s="44" t="s">
        <v>21</v>
      </c>
      <c r="AV456" s="45"/>
      <c r="AW456" s="45"/>
      <c r="AX456" s="45" t="s">
        <v>22</v>
      </c>
      <c r="AY456" s="45"/>
      <c r="AZ456" s="46"/>
    </row>
    <row r="457" spans="2:52" ht="15.75" thickBot="1" x14ac:dyDescent="0.3">
      <c r="AU457" s="47">
        <v>22</v>
      </c>
      <c r="AV457" s="48"/>
      <c r="AW457" s="48"/>
      <c r="AX457" s="48">
        <v>2</v>
      </c>
      <c r="AY457" s="48"/>
      <c r="AZ457" s="49"/>
    </row>
    <row r="458" spans="2:52" ht="15.75" thickBot="1" x14ac:dyDescent="0.3">
      <c r="E458" s="18" t="s">
        <v>8</v>
      </c>
      <c r="F458" s="8"/>
      <c r="G458" s="8"/>
      <c r="H458" s="8"/>
      <c r="I458" s="8" t="s">
        <v>9</v>
      </c>
      <c r="J458" s="8"/>
      <c r="K458" s="8"/>
      <c r="L458" s="8"/>
      <c r="M458" s="8" t="s">
        <v>10</v>
      </c>
      <c r="N458" s="8"/>
      <c r="O458" s="8"/>
      <c r="P458" s="8"/>
      <c r="Q458" s="8" t="s">
        <v>11</v>
      </c>
      <c r="R458" s="8"/>
      <c r="S458" s="8"/>
      <c r="T458" s="8"/>
      <c r="U458" s="8" t="s">
        <v>12</v>
      </c>
      <c r="V458" s="8"/>
      <c r="W458" s="8"/>
      <c r="X458" s="8"/>
      <c r="Y458" s="8" t="s">
        <v>13</v>
      </c>
      <c r="Z458" s="8"/>
      <c r="AA458" s="8"/>
      <c r="AB458" s="8"/>
      <c r="AC458" s="8" t="s">
        <v>14</v>
      </c>
      <c r="AD458" s="8"/>
      <c r="AE458" s="8"/>
      <c r="AF458" s="8"/>
      <c r="AG458" s="8" t="s">
        <v>15</v>
      </c>
      <c r="AH458" s="8"/>
      <c r="AI458" s="8"/>
      <c r="AJ458" s="8"/>
      <c r="AK458" s="8" t="s">
        <v>16</v>
      </c>
      <c r="AL458" s="8"/>
      <c r="AM458" s="8"/>
      <c r="AN458" s="8"/>
      <c r="AO458" s="8" t="s">
        <v>17</v>
      </c>
      <c r="AP458" s="8"/>
      <c r="AQ458" s="8"/>
      <c r="AR458" s="10"/>
    </row>
    <row r="459" spans="2:52" ht="15.75" thickBot="1" x14ac:dyDescent="0.3">
      <c r="B459" s="4" t="s">
        <v>19</v>
      </c>
      <c r="C459" s="5"/>
      <c r="D459" s="6"/>
      <c r="E459" s="7">
        <v>43800</v>
      </c>
      <c r="F459" s="8"/>
      <c r="G459" s="8"/>
      <c r="H459" s="8"/>
      <c r="I459" s="9">
        <v>43814</v>
      </c>
      <c r="J459" s="8"/>
      <c r="K459" s="8"/>
      <c r="L459" s="8"/>
      <c r="M459" s="9">
        <v>43829</v>
      </c>
      <c r="N459" s="8"/>
      <c r="O459" s="8"/>
      <c r="P459" s="8"/>
      <c r="Q459" s="9">
        <v>43845</v>
      </c>
      <c r="R459" s="8"/>
      <c r="S459" s="8"/>
      <c r="T459" s="8"/>
      <c r="U459" s="9">
        <v>43860</v>
      </c>
      <c r="V459" s="8"/>
      <c r="W459" s="8"/>
      <c r="X459" s="8"/>
      <c r="Y459" s="9"/>
      <c r="Z459" s="8"/>
      <c r="AA459" s="8"/>
      <c r="AB459" s="8"/>
      <c r="AC459" s="9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10"/>
    </row>
    <row r="460" spans="2:52" ht="15.75" thickBot="1" x14ac:dyDescent="0.3">
      <c r="E460" s="11">
        <v>250</v>
      </c>
      <c r="F460" s="12"/>
      <c r="G460" s="12"/>
      <c r="H460" s="12"/>
      <c r="I460" s="12">
        <v>250</v>
      </c>
      <c r="J460" s="12"/>
      <c r="K460" s="12"/>
      <c r="L460" s="12"/>
      <c r="M460" s="12">
        <v>250</v>
      </c>
      <c r="N460" s="12"/>
      <c r="O460" s="12"/>
      <c r="P460" s="12"/>
      <c r="Q460" s="12">
        <v>250</v>
      </c>
      <c r="R460" s="12"/>
      <c r="S460" s="12"/>
      <c r="T460" s="12"/>
      <c r="U460" s="12">
        <v>250</v>
      </c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3"/>
    </row>
    <row r="462" spans="2:52" ht="15.75" thickBot="1" x14ac:dyDescent="0.3"/>
    <row r="463" spans="2:52" ht="15.75" thickBot="1" x14ac:dyDescent="0.3">
      <c r="C463" s="1">
        <v>57</v>
      </c>
      <c r="D463" s="14" t="s">
        <v>3</v>
      </c>
      <c r="E463" s="14"/>
      <c r="F463" s="14"/>
      <c r="G463" s="15" t="s">
        <v>4</v>
      </c>
      <c r="H463" s="15"/>
      <c r="I463" s="15"/>
      <c r="J463" s="15"/>
      <c r="K463" s="15"/>
      <c r="L463" s="15"/>
      <c r="M463" s="15" t="s">
        <v>5</v>
      </c>
      <c r="N463" s="15"/>
      <c r="AJ463" s="16" t="s">
        <v>6</v>
      </c>
      <c r="AK463" s="17"/>
      <c r="AL463" s="17"/>
      <c r="AM463" s="17"/>
      <c r="AO463" s="16" t="s">
        <v>7</v>
      </c>
      <c r="AP463" s="17"/>
      <c r="AQ463" s="17"/>
      <c r="AR463" s="17"/>
      <c r="AU463" s="39" t="s">
        <v>20</v>
      </c>
      <c r="AV463" s="40"/>
      <c r="AW463" s="40"/>
      <c r="AX463" s="40"/>
      <c r="AY463" s="40"/>
      <c r="AZ463" s="41"/>
    </row>
    <row r="464" spans="2:52" ht="15.75" thickBot="1" x14ac:dyDescent="0.3">
      <c r="D464" s="22">
        <v>7534</v>
      </c>
      <c r="E464" s="23"/>
      <c r="F464" s="24"/>
      <c r="G464" s="25">
        <v>43829</v>
      </c>
      <c r="H464" s="26"/>
      <c r="I464" s="26"/>
      <c r="J464" s="26"/>
      <c r="K464" s="26"/>
      <c r="L464" s="27"/>
      <c r="M464" s="28">
        <v>4</v>
      </c>
      <c r="N464" s="28"/>
      <c r="AJ464" s="29">
        <v>650</v>
      </c>
      <c r="AK464" s="30"/>
      <c r="AL464" s="30"/>
      <c r="AM464" s="30"/>
      <c r="AO464" s="42">
        <f>AJ464-E468-I468-M468-Q468-U468-Y68-AC468-AG468-AK468-AO468</f>
        <v>-2</v>
      </c>
      <c r="AP464" s="43"/>
      <c r="AQ464" s="43"/>
      <c r="AR464" s="43"/>
      <c r="AU464" s="44" t="s">
        <v>21</v>
      </c>
      <c r="AV464" s="45"/>
      <c r="AW464" s="45"/>
      <c r="AX464" s="45" t="s">
        <v>22</v>
      </c>
      <c r="AY464" s="45"/>
      <c r="AZ464" s="46"/>
    </row>
    <row r="465" spans="2:52" ht="15.75" thickBot="1" x14ac:dyDescent="0.3">
      <c r="AU465" s="47">
        <v>1</v>
      </c>
      <c r="AV465" s="48"/>
      <c r="AW465" s="48"/>
      <c r="AX465" s="48">
        <v>4</v>
      </c>
      <c r="AY465" s="48"/>
      <c r="AZ465" s="49"/>
    </row>
    <row r="466" spans="2:52" ht="15.75" thickBot="1" x14ac:dyDescent="0.3">
      <c r="E466" s="18" t="s">
        <v>8</v>
      </c>
      <c r="F466" s="8"/>
      <c r="G466" s="8"/>
      <c r="H466" s="8"/>
      <c r="I466" s="8" t="s">
        <v>9</v>
      </c>
      <c r="J466" s="8"/>
      <c r="K466" s="8"/>
      <c r="L466" s="8"/>
      <c r="M466" s="8" t="s">
        <v>10</v>
      </c>
      <c r="N466" s="8"/>
      <c r="O466" s="8"/>
      <c r="P466" s="8"/>
      <c r="Q466" s="8" t="s">
        <v>11</v>
      </c>
      <c r="R466" s="8"/>
      <c r="S466" s="8"/>
      <c r="T466" s="8"/>
      <c r="U466" s="8" t="s">
        <v>12</v>
      </c>
      <c r="V466" s="8"/>
      <c r="W466" s="8"/>
      <c r="X466" s="8"/>
      <c r="Y466" s="8" t="s">
        <v>13</v>
      </c>
      <c r="Z466" s="8"/>
      <c r="AA466" s="8"/>
      <c r="AB466" s="8"/>
      <c r="AC466" s="8" t="s">
        <v>14</v>
      </c>
      <c r="AD466" s="8"/>
      <c r="AE466" s="8"/>
      <c r="AF466" s="8"/>
      <c r="AG466" s="8" t="s">
        <v>15</v>
      </c>
      <c r="AH466" s="8"/>
      <c r="AI466" s="8"/>
      <c r="AJ466" s="8"/>
      <c r="AK466" s="8" t="s">
        <v>16</v>
      </c>
      <c r="AL466" s="8"/>
      <c r="AM466" s="8"/>
      <c r="AN466" s="8"/>
      <c r="AO466" s="8" t="s">
        <v>17</v>
      </c>
      <c r="AP466" s="8"/>
      <c r="AQ466" s="8"/>
      <c r="AR466" s="10"/>
    </row>
    <row r="467" spans="2:52" ht="15.75" thickBot="1" x14ac:dyDescent="0.3">
      <c r="B467" s="4" t="s">
        <v>19</v>
      </c>
      <c r="C467" s="5"/>
      <c r="D467" s="6"/>
      <c r="E467" s="7">
        <v>43845</v>
      </c>
      <c r="F467" s="8"/>
      <c r="G467" s="8"/>
      <c r="H467" s="8"/>
      <c r="I467" s="9">
        <v>43860</v>
      </c>
      <c r="J467" s="8"/>
      <c r="K467" s="8"/>
      <c r="L467" s="8"/>
      <c r="M467" s="9">
        <v>43876</v>
      </c>
      <c r="N467" s="8"/>
      <c r="O467" s="8"/>
      <c r="P467" s="8"/>
      <c r="Q467" s="9">
        <v>43889</v>
      </c>
      <c r="R467" s="8"/>
      <c r="S467" s="8"/>
      <c r="T467" s="8"/>
      <c r="U467" s="9"/>
      <c r="V467" s="8"/>
      <c r="W467" s="8"/>
      <c r="X467" s="8"/>
      <c r="Y467" s="9"/>
      <c r="Z467" s="8"/>
      <c r="AA467" s="8"/>
      <c r="AB467" s="8"/>
      <c r="AC467" s="9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10"/>
    </row>
    <row r="468" spans="2:52" ht="15.75" thickBot="1" x14ac:dyDescent="0.3">
      <c r="E468" s="11">
        <v>163</v>
      </c>
      <c r="F468" s="12"/>
      <c r="G468" s="12"/>
      <c r="H468" s="12"/>
      <c r="I468" s="12">
        <v>163</v>
      </c>
      <c r="J468" s="12"/>
      <c r="K468" s="12"/>
      <c r="L468" s="12"/>
      <c r="M468" s="12">
        <v>163</v>
      </c>
      <c r="N468" s="12"/>
      <c r="O468" s="12"/>
      <c r="P468" s="12"/>
      <c r="Q468" s="12">
        <v>163</v>
      </c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3"/>
    </row>
    <row r="470" spans="2:52" ht="15.75" thickBot="1" x14ac:dyDescent="0.3"/>
    <row r="471" spans="2:52" ht="15.75" thickBot="1" x14ac:dyDescent="0.3">
      <c r="C471" s="1">
        <v>58</v>
      </c>
      <c r="D471" s="14" t="s">
        <v>3</v>
      </c>
      <c r="E471" s="14"/>
      <c r="F471" s="14"/>
      <c r="G471" s="15" t="s">
        <v>4</v>
      </c>
      <c r="H471" s="15"/>
      <c r="I471" s="15"/>
      <c r="J471" s="15"/>
      <c r="K471" s="15"/>
      <c r="L471" s="15"/>
      <c r="M471" s="15" t="s">
        <v>5</v>
      </c>
      <c r="N471" s="15"/>
      <c r="AJ471" s="16" t="s">
        <v>6</v>
      </c>
      <c r="AK471" s="17"/>
      <c r="AL471" s="17"/>
      <c r="AM471" s="17"/>
      <c r="AO471" s="16" t="s">
        <v>7</v>
      </c>
      <c r="AP471" s="17"/>
      <c r="AQ471" s="17"/>
      <c r="AR471" s="17"/>
      <c r="AU471" s="39" t="s">
        <v>20</v>
      </c>
      <c r="AV471" s="40"/>
      <c r="AW471" s="40"/>
      <c r="AX471" s="40"/>
      <c r="AY471" s="40"/>
      <c r="AZ471" s="41"/>
    </row>
    <row r="472" spans="2:52" ht="15.75" thickBot="1" x14ac:dyDescent="0.3">
      <c r="D472" s="22">
        <v>7940</v>
      </c>
      <c r="E472" s="23"/>
      <c r="F472" s="24"/>
      <c r="G472" s="25">
        <v>43876</v>
      </c>
      <c r="H472" s="26"/>
      <c r="I472" s="26"/>
      <c r="J472" s="26"/>
      <c r="K472" s="26"/>
      <c r="L472" s="27"/>
      <c r="M472" s="28">
        <v>4</v>
      </c>
      <c r="N472" s="28"/>
      <c r="AJ472" s="29">
        <v>720</v>
      </c>
      <c r="AK472" s="30"/>
      <c r="AL472" s="30"/>
      <c r="AM472" s="30"/>
      <c r="AO472" s="42">
        <f>AJ472-E476-I476-M476-Q476-U476-Y76-AC476-AG476-AK476-AO476</f>
        <v>0</v>
      </c>
      <c r="AP472" s="43"/>
      <c r="AQ472" s="43"/>
      <c r="AR472" s="43"/>
      <c r="AU472" s="44" t="s">
        <v>21</v>
      </c>
      <c r="AV472" s="45"/>
      <c r="AW472" s="45"/>
      <c r="AX472" s="45" t="s">
        <v>22</v>
      </c>
      <c r="AY472" s="45"/>
      <c r="AZ472" s="46"/>
    </row>
    <row r="473" spans="2:52" ht="15.75" thickBot="1" x14ac:dyDescent="0.3">
      <c r="AU473" s="47">
        <v>4</v>
      </c>
      <c r="AV473" s="48"/>
      <c r="AW473" s="48"/>
      <c r="AX473" s="48">
        <v>7</v>
      </c>
      <c r="AY473" s="48"/>
      <c r="AZ473" s="49"/>
    </row>
    <row r="474" spans="2:52" ht="15.75" thickBot="1" x14ac:dyDescent="0.3">
      <c r="E474" s="18" t="s">
        <v>8</v>
      </c>
      <c r="F474" s="8"/>
      <c r="G474" s="8"/>
      <c r="H474" s="8"/>
      <c r="I474" s="8" t="s">
        <v>9</v>
      </c>
      <c r="J474" s="8"/>
      <c r="K474" s="8"/>
      <c r="L474" s="8"/>
      <c r="M474" s="8" t="s">
        <v>10</v>
      </c>
      <c r="N474" s="8"/>
      <c r="O474" s="8"/>
      <c r="P474" s="8"/>
      <c r="Q474" s="8" t="s">
        <v>11</v>
      </c>
      <c r="R474" s="8"/>
      <c r="S474" s="8"/>
      <c r="T474" s="8"/>
      <c r="U474" s="8" t="s">
        <v>12</v>
      </c>
      <c r="V474" s="8"/>
      <c r="W474" s="8"/>
      <c r="X474" s="8"/>
      <c r="Y474" s="8" t="s">
        <v>13</v>
      </c>
      <c r="Z474" s="8"/>
      <c r="AA474" s="8"/>
      <c r="AB474" s="8"/>
      <c r="AC474" s="8" t="s">
        <v>14</v>
      </c>
      <c r="AD474" s="8"/>
      <c r="AE474" s="8"/>
      <c r="AF474" s="8"/>
      <c r="AG474" s="8" t="s">
        <v>15</v>
      </c>
      <c r="AH474" s="8"/>
      <c r="AI474" s="8"/>
      <c r="AJ474" s="8"/>
      <c r="AK474" s="8" t="s">
        <v>16</v>
      </c>
      <c r="AL474" s="8"/>
      <c r="AM474" s="8"/>
      <c r="AN474" s="8"/>
      <c r="AO474" s="8" t="s">
        <v>17</v>
      </c>
      <c r="AP474" s="8"/>
      <c r="AQ474" s="8"/>
      <c r="AR474" s="10"/>
    </row>
    <row r="475" spans="2:52" ht="15.75" thickBot="1" x14ac:dyDescent="0.3">
      <c r="B475" s="4" t="s">
        <v>19</v>
      </c>
      <c r="C475" s="5"/>
      <c r="D475" s="6"/>
      <c r="E475" s="7">
        <v>43889</v>
      </c>
      <c r="F475" s="8"/>
      <c r="G475" s="8"/>
      <c r="H475" s="8"/>
      <c r="I475" s="9">
        <v>43905</v>
      </c>
      <c r="J475" s="8"/>
      <c r="K475" s="8"/>
      <c r="L475" s="8"/>
      <c r="M475" s="9">
        <v>43921</v>
      </c>
      <c r="N475" s="8"/>
      <c r="O475" s="8"/>
      <c r="P475" s="8"/>
      <c r="Q475" s="9">
        <v>43936</v>
      </c>
      <c r="R475" s="8"/>
      <c r="S475" s="8"/>
      <c r="T475" s="8"/>
      <c r="U475" s="9"/>
      <c r="V475" s="8"/>
      <c r="W475" s="8"/>
      <c r="X475" s="8"/>
      <c r="Y475" s="9"/>
      <c r="Z475" s="8"/>
      <c r="AA475" s="8"/>
      <c r="AB475" s="8"/>
      <c r="AC475" s="9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10"/>
    </row>
    <row r="476" spans="2:52" ht="15.75" thickBot="1" x14ac:dyDescent="0.3">
      <c r="E476" s="11">
        <v>180</v>
      </c>
      <c r="F476" s="12"/>
      <c r="G476" s="12"/>
      <c r="H476" s="12"/>
      <c r="I476" s="12">
        <v>180</v>
      </c>
      <c r="J476" s="12"/>
      <c r="K476" s="12"/>
      <c r="L476" s="12"/>
      <c r="M476" s="12">
        <v>180</v>
      </c>
      <c r="N476" s="12"/>
      <c r="O476" s="12"/>
      <c r="P476" s="12"/>
      <c r="Q476" s="12">
        <v>180</v>
      </c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3"/>
    </row>
    <row r="478" spans="2:52" ht="15.75" thickBot="1" x14ac:dyDescent="0.3"/>
    <row r="479" spans="2:52" ht="15.75" thickBot="1" x14ac:dyDescent="0.3">
      <c r="C479" s="1">
        <v>59</v>
      </c>
      <c r="D479" s="14" t="s">
        <v>3</v>
      </c>
      <c r="E479" s="14"/>
      <c r="F479" s="14"/>
      <c r="G479" s="15" t="s">
        <v>4</v>
      </c>
      <c r="H479" s="15"/>
      <c r="I479" s="15"/>
      <c r="J479" s="15"/>
      <c r="K479" s="15"/>
      <c r="L479" s="15"/>
      <c r="M479" s="15" t="s">
        <v>5</v>
      </c>
      <c r="N479" s="15"/>
      <c r="AJ479" s="16" t="s">
        <v>6</v>
      </c>
      <c r="AK479" s="17"/>
      <c r="AL479" s="17"/>
      <c r="AM479" s="17"/>
      <c r="AO479" s="16" t="s">
        <v>7</v>
      </c>
      <c r="AP479" s="17"/>
      <c r="AQ479" s="17"/>
      <c r="AR479" s="17"/>
      <c r="AU479" s="39" t="s">
        <v>20</v>
      </c>
      <c r="AV479" s="40"/>
      <c r="AW479" s="40"/>
      <c r="AX479" s="40"/>
      <c r="AY479" s="40"/>
      <c r="AZ479" s="41"/>
    </row>
    <row r="480" spans="2:52" ht="15.75" thickBot="1" x14ac:dyDescent="0.3">
      <c r="D480" s="22">
        <v>8761</v>
      </c>
      <c r="E480" s="23"/>
      <c r="F480" s="24"/>
      <c r="G480" s="25">
        <v>44010</v>
      </c>
      <c r="H480" s="26"/>
      <c r="I480" s="26"/>
      <c r="J480" s="26"/>
      <c r="K480" s="26"/>
      <c r="L480" s="27"/>
      <c r="M480" s="28">
        <v>5</v>
      </c>
      <c r="N480" s="28"/>
      <c r="AJ480" s="29">
        <v>1230</v>
      </c>
      <c r="AK480" s="30"/>
      <c r="AL480" s="30"/>
      <c r="AM480" s="30"/>
      <c r="AO480" s="42">
        <f>AJ480-E484-I484-M484-Q484-U484-Y84-AC484-AG484-AK484-AO484</f>
        <v>0</v>
      </c>
      <c r="AP480" s="43"/>
      <c r="AQ480" s="43"/>
      <c r="AR480" s="43"/>
      <c r="AU480" s="44" t="s">
        <v>21</v>
      </c>
      <c r="AV480" s="45"/>
      <c r="AW480" s="45"/>
      <c r="AX480" s="45" t="s">
        <v>22</v>
      </c>
      <c r="AY480" s="45"/>
      <c r="AZ480" s="46"/>
    </row>
    <row r="481" spans="2:52" ht="15.75" thickBot="1" x14ac:dyDescent="0.3">
      <c r="AU481" s="47">
        <v>13</v>
      </c>
      <c r="AV481" s="48"/>
      <c r="AW481" s="48"/>
      <c r="AX481" s="48">
        <v>17</v>
      </c>
      <c r="AY481" s="48"/>
      <c r="AZ481" s="49"/>
    </row>
    <row r="482" spans="2:52" ht="15.75" thickBot="1" x14ac:dyDescent="0.3">
      <c r="E482" s="18" t="s">
        <v>8</v>
      </c>
      <c r="F482" s="8"/>
      <c r="G482" s="8"/>
      <c r="H482" s="8"/>
      <c r="I482" s="8" t="s">
        <v>9</v>
      </c>
      <c r="J482" s="8"/>
      <c r="K482" s="8"/>
      <c r="L482" s="8"/>
      <c r="M482" s="8" t="s">
        <v>10</v>
      </c>
      <c r="N482" s="8"/>
      <c r="O482" s="8"/>
      <c r="P482" s="8"/>
      <c r="Q482" s="8" t="s">
        <v>11</v>
      </c>
      <c r="R482" s="8"/>
      <c r="S482" s="8"/>
      <c r="T482" s="8"/>
      <c r="U482" s="8" t="s">
        <v>12</v>
      </c>
      <c r="V482" s="8"/>
      <c r="W482" s="8"/>
      <c r="X482" s="8"/>
      <c r="Y482" s="8" t="s">
        <v>13</v>
      </c>
      <c r="Z482" s="8"/>
      <c r="AA482" s="8"/>
      <c r="AB482" s="8"/>
      <c r="AC482" s="8" t="s">
        <v>14</v>
      </c>
      <c r="AD482" s="8"/>
      <c r="AE482" s="8"/>
      <c r="AF482" s="8"/>
      <c r="AG482" s="8" t="s">
        <v>15</v>
      </c>
      <c r="AH482" s="8"/>
      <c r="AI482" s="8"/>
      <c r="AJ482" s="8"/>
      <c r="AK482" s="8" t="s">
        <v>16</v>
      </c>
      <c r="AL482" s="8"/>
      <c r="AM482" s="8"/>
      <c r="AN482" s="8"/>
      <c r="AO482" s="8" t="s">
        <v>17</v>
      </c>
      <c r="AP482" s="8"/>
      <c r="AQ482" s="8"/>
      <c r="AR482" s="10"/>
    </row>
    <row r="483" spans="2:52" ht="15.75" thickBot="1" x14ac:dyDescent="0.3">
      <c r="B483" s="4" t="s">
        <v>19</v>
      </c>
      <c r="C483" s="5"/>
      <c r="D483" s="6"/>
      <c r="E483" s="7">
        <v>44027</v>
      </c>
      <c r="F483" s="8"/>
      <c r="G483" s="8"/>
      <c r="H483" s="8"/>
      <c r="I483" s="9">
        <v>44042</v>
      </c>
      <c r="J483" s="8"/>
      <c r="K483" s="8"/>
      <c r="L483" s="8"/>
      <c r="M483" s="9">
        <v>44058</v>
      </c>
      <c r="N483" s="8"/>
      <c r="O483" s="8"/>
      <c r="P483" s="8"/>
      <c r="Q483" s="9">
        <v>44073</v>
      </c>
      <c r="R483" s="8"/>
      <c r="S483" s="8"/>
      <c r="T483" s="8"/>
      <c r="U483" s="9">
        <v>44089</v>
      </c>
      <c r="V483" s="8"/>
      <c r="W483" s="8"/>
      <c r="X483" s="8"/>
      <c r="Y483" s="9"/>
      <c r="Z483" s="8"/>
      <c r="AA483" s="8"/>
      <c r="AB483" s="8"/>
      <c r="AC483" s="9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10"/>
    </row>
    <row r="484" spans="2:52" ht="15.75" thickBot="1" x14ac:dyDescent="0.3">
      <c r="E484" s="11">
        <v>246</v>
      </c>
      <c r="F484" s="12"/>
      <c r="G484" s="12"/>
      <c r="H484" s="12"/>
      <c r="I484" s="12">
        <v>246</v>
      </c>
      <c r="J484" s="12"/>
      <c r="K484" s="12"/>
      <c r="L484" s="12"/>
      <c r="M484" s="12">
        <v>246</v>
      </c>
      <c r="N484" s="12"/>
      <c r="O484" s="12"/>
      <c r="P484" s="12"/>
      <c r="Q484" s="12">
        <v>246</v>
      </c>
      <c r="R484" s="12"/>
      <c r="S484" s="12"/>
      <c r="T484" s="12"/>
      <c r="U484" s="12">
        <v>246</v>
      </c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3"/>
    </row>
    <row r="486" spans="2:52" ht="15.75" thickBot="1" x14ac:dyDescent="0.3"/>
    <row r="487" spans="2:52" ht="15.75" thickBot="1" x14ac:dyDescent="0.3">
      <c r="C487" s="1">
        <v>60</v>
      </c>
      <c r="D487" s="14" t="s">
        <v>3</v>
      </c>
      <c r="E487" s="14"/>
      <c r="F487" s="14"/>
      <c r="G487" s="15" t="s">
        <v>4</v>
      </c>
      <c r="H487" s="15"/>
      <c r="I487" s="15"/>
      <c r="J487" s="15"/>
      <c r="K487" s="15"/>
      <c r="L487" s="15"/>
      <c r="M487" s="15" t="s">
        <v>5</v>
      </c>
      <c r="N487" s="15"/>
      <c r="AJ487" s="16" t="s">
        <v>6</v>
      </c>
      <c r="AK487" s="17"/>
      <c r="AL487" s="17"/>
      <c r="AM487" s="17"/>
      <c r="AO487" s="16" t="s">
        <v>7</v>
      </c>
      <c r="AP487" s="17"/>
      <c r="AQ487" s="17"/>
      <c r="AR487" s="17"/>
      <c r="AU487" s="39" t="s">
        <v>20</v>
      </c>
      <c r="AV487" s="40"/>
      <c r="AW487" s="40"/>
      <c r="AX487" s="40"/>
      <c r="AY487" s="40"/>
      <c r="AZ487" s="41"/>
    </row>
    <row r="488" spans="2:52" ht="15.75" thickBot="1" x14ac:dyDescent="0.3">
      <c r="D488" s="22">
        <v>9662</v>
      </c>
      <c r="E488" s="23"/>
      <c r="F488" s="24"/>
      <c r="G488" s="25">
        <v>44094</v>
      </c>
      <c r="H488" s="26"/>
      <c r="I488" s="26"/>
      <c r="J488" s="26"/>
      <c r="K488" s="26"/>
      <c r="L488" s="27"/>
      <c r="M488" s="28">
        <v>5</v>
      </c>
      <c r="N488" s="28"/>
      <c r="AJ488" s="29">
        <v>1150</v>
      </c>
      <c r="AK488" s="30"/>
      <c r="AL488" s="30"/>
      <c r="AM488" s="30"/>
      <c r="AO488" s="42">
        <f>AJ488-E492-I492-M492-Q492-U492-Y92-AC492-AG492-AK492-AO492</f>
        <v>0</v>
      </c>
      <c r="AP488" s="43"/>
      <c r="AQ488" s="43"/>
      <c r="AR488" s="43"/>
      <c r="AU488" s="44" t="s">
        <v>21</v>
      </c>
      <c r="AV488" s="45"/>
      <c r="AW488" s="45"/>
      <c r="AX488" s="45" t="s">
        <v>22</v>
      </c>
      <c r="AY488" s="45"/>
      <c r="AZ488" s="46"/>
    </row>
    <row r="489" spans="2:52" ht="15.75" thickBot="1" x14ac:dyDescent="0.3">
      <c r="AU489" s="47">
        <v>18</v>
      </c>
      <c r="AV489" s="48"/>
      <c r="AW489" s="48"/>
      <c r="AX489" s="48">
        <v>22</v>
      </c>
      <c r="AY489" s="48"/>
      <c r="AZ489" s="49"/>
    </row>
    <row r="490" spans="2:52" ht="15.75" thickBot="1" x14ac:dyDescent="0.3">
      <c r="E490" s="18" t="s">
        <v>8</v>
      </c>
      <c r="F490" s="8"/>
      <c r="G490" s="8"/>
      <c r="H490" s="8"/>
      <c r="I490" s="8" t="s">
        <v>9</v>
      </c>
      <c r="J490" s="8"/>
      <c r="K490" s="8"/>
      <c r="L490" s="8"/>
      <c r="M490" s="8" t="s">
        <v>10</v>
      </c>
      <c r="N490" s="8"/>
      <c r="O490" s="8"/>
      <c r="P490" s="8"/>
      <c r="Q490" s="8" t="s">
        <v>11</v>
      </c>
      <c r="R490" s="8"/>
      <c r="S490" s="8"/>
      <c r="T490" s="8"/>
      <c r="U490" s="8" t="s">
        <v>12</v>
      </c>
      <c r="V490" s="8"/>
      <c r="W490" s="8"/>
      <c r="X490" s="8"/>
      <c r="Y490" s="8" t="s">
        <v>13</v>
      </c>
      <c r="Z490" s="8"/>
      <c r="AA490" s="8"/>
      <c r="AB490" s="8"/>
      <c r="AC490" s="8" t="s">
        <v>14</v>
      </c>
      <c r="AD490" s="8"/>
      <c r="AE490" s="8"/>
      <c r="AF490" s="8"/>
      <c r="AG490" s="8" t="s">
        <v>15</v>
      </c>
      <c r="AH490" s="8"/>
      <c r="AI490" s="8"/>
      <c r="AJ490" s="8"/>
      <c r="AK490" s="8" t="s">
        <v>16</v>
      </c>
      <c r="AL490" s="8"/>
      <c r="AM490" s="8"/>
      <c r="AN490" s="8"/>
      <c r="AO490" s="8" t="s">
        <v>17</v>
      </c>
      <c r="AP490" s="8"/>
      <c r="AQ490" s="8"/>
      <c r="AR490" s="10"/>
    </row>
    <row r="491" spans="2:52" ht="15.75" thickBot="1" x14ac:dyDescent="0.3">
      <c r="B491" s="4" t="s">
        <v>19</v>
      </c>
      <c r="C491" s="5"/>
      <c r="D491" s="6"/>
      <c r="E491" s="7">
        <v>44104</v>
      </c>
      <c r="F491" s="8"/>
      <c r="G491" s="8"/>
      <c r="H491" s="8"/>
      <c r="I491" s="9">
        <v>44134</v>
      </c>
      <c r="J491" s="8"/>
      <c r="K491" s="8"/>
      <c r="L491" s="8"/>
      <c r="M491" s="9">
        <v>44150</v>
      </c>
      <c r="N491" s="8"/>
      <c r="O491" s="8"/>
      <c r="P491" s="8"/>
      <c r="Q491" s="9">
        <v>44150</v>
      </c>
      <c r="R491" s="8"/>
      <c r="S491" s="8"/>
      <c r="T491" s="8"/>
      <c r="U491" s="9">
        <v>44165</v>
      </c>
      <c r="V491" s="8"/>
      <c r="W491" s="8"/>
      <c r="X491" s="8"/>
      <c r="Y491" s="9"/>
      <c r="Z491" s="8"/>
      <c r="AA491" s="8"/>
      <c r="AB491" s="8"/>
      <c r="AC491" s="9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10"/>
    </row>
    <row r="492" spans="2:52" ht="15.75" thickBot="1" x14ac:dyDescent="0.3">
      <c r="E492" s="11">
        <v>230</v>
      </c>
      <c r="F492" s="12"/>
      <c r="G492" s="12"/>
      <c r="H492" s="12"/>
      <c r="I492" s="12">
        <v>310</v>
      </c>
      <c r="J492" s="12"/>
      <c r="K492" s="12"/>
      <c r="L492" s="12"/>
      <c r="M492" s="12">
        <v>230</v>
      </c>
      <c r="N492" s="12"/>
      <c r="O492" s="12"/>
      <c r="P492" s="12"/>
      <c r="Q492" s="12">
        <v>150</v>
      </c>
      <c r="R492" s="12"/>
      <c r="S492" s="12"/>
      <c r="T492" s="12"/>
      <c r="U492" s="12">
        <v>230</v>
      </c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3"/>
    </row>
    <row r="494" spans="2:52" ht="15.75" thickBot="1" x14ac:dyDescent="0.3"/>
    <row r="495" spans="2:52" ht="15.75" thickBot="1" x14ac:dyDescent="0.3">
      <c r="C495" s="1">
        <v>61</v>
      </c>
      <c r="D495" s="14" t="s">
        <v>3</v>
      </c>
      <c r="E495" s="14"/>
      <c r="F495" s="14"/>
      <c r="G495" s="15" t="s">
        <v>4</v>
      </c>
      <c r="H495" s="15"/>
      <c r="I495" s="15"/>
      <c r="J495" s="15"/>
      <c r="K495" s="15"/>
      <c r="L495" s="15"/>
      <c r="M495" s="15" t="s">
        <v>5</v>
      </c>
      <c r="N495" s="15"/>
      <c r="AJ495" s="16" t="s">
        <v>6</v>
      </c>
      <c r="AK495" s="17"/>
      <c r="AL495" s="17"/>
      <c r="AM495" s="17"/>
      <c r="AO495" s="16" t="s">
        <v>7</v>
      </c>
      <c r="AP495" s="17"/>
      <c r="AQ495" s="17"/>
      <c r="AR495" s="17"/>
      <c r="AU495" s="39" t="s">
        <v>20</v>
      </c>
      <c r="AV495" s="40"/>
      <c r="AW495" s="40"/>
      <c r="AX495" s="40"/>
      <c r="AY495" s="40"/>
      <c r="AZ495" s="41"/>
    </row>
    <row r="496" spans="2:52" ht="15.75" thickBot="1" x14ac:dyDescent="0.3">
      <c r="D496" s="22">
        <v>9695</v>
      </c>
      <c r="E496" s="23"/>
      <c r="F496" s="24"/>
      <c r="G496" s="25">
        <v>44100</v>
      </c>
      <c r="H496" s="26"/>
      <c r="I496" s="26"/>
      <c r="J496" s="26"/>
      <c r="K496" s="26"/>
      <c r="L496" s="27"/>
      <c r="M496" s="28">
        <v>3</v>
      </c>
      <c r="N496" s="28"/>
      <c r="AJ496" s="29">
        <v>450</v>
      </c>
      <c r="AK496" s="30"/>
      <c r="AL496" s="30"/>
      <c r="AM496" s="30"/>
      <c r="AO496" s="42">
        <f>AJ496-E500-I500-M500-Q500-U500-Y100-AC500-AG500-AK500-AO500</f>
        <v>0</v>
      </c>
      <c r="AP496" s="43"/>
      <c r="AQ496" s="43"/>
      <c r="AR496" s="43"/>
      <c r="AU496" s="44" t="s">
        <v>21</v>
      </c>
      <c r="AV496" s="45"/>
      <c r="AW496" s="45"/>
      <c r="AX496" s="45" t="s">
        <v>22</v>
      </c>
      <c r="AY496" s="45"/>
      <c r="AZ496" s="46"/>
    </row>
    <row r="497" spans="2:52" ht="15.75" thickBot="1" x14ac:dyDescent="0.3">
      <c r="AU497" s="47">
        <v>19</v>
      </c>
      <c r="AV497" s="48"/>
      <c r="AW497" s="48"/>
      <c r="AX497" s="48">
        <v>21</v>
      </c>
      <c r="AY497" s="48"/>
      <c r="AZ497" s="49"/>
    </row>
    <row r="498" spans="2:52" ht="15.75" thickBot="1" x14ac:dyDescent="0.3">
      <c r="E498" s="18" t="s">
        <v>8</v>
      </c>
      <c r="F498" s="8"/>
      <c r="G498" s="8"/>
      <c r="H498" s="8"/>
      <c r="I498" s="8" t="s">
        <v>9</v>
      </c>
      <c r="J498" s="8"/>
      <c r="K498" s="8"/>
      <c r="L498" s="8"/>
      <c r="M498" s="8" t="s">
        <v>10</v>
      </c>
      <c r="N498" s="8"/>
      <c r="O498" s="8"/>
      <c r="P498" s="8"/>
      <c r="Q498" s="8" t="s">
        <v>11</v>
      </c>
      <c r="R498" s="8"/>
      <c r="S498" s="8"/>
      <c r="T498" s="8"/>
      <c r="U498" s="8" t="s">
        <v>12</v>
      </c>
      <c r="V498" s="8"/>
      <c r="W498" s="8"/>
      <c r="X498" s="8"/>
      <c r="Y498" s="8" t="s">
        <v>13</v>
      </c>
      <c r="Z498" s="8"/>
      <c r="AA498" s="8"/>
      <c r="AB498" s="8"/>
      <c r="AC498" s="8" t="s">
        <v>14</v>
      </c>
      <c r="AD498" s="8"/>
      <c r="AE498" s="8"/>
      <c r="AF498" s="8"/>
      <c r="AG498" s="8" t="s">
        <v>15</v>
      </c>
      <c r="AH498" s="8"/>
      <c r="AI498" s="8"/>
      <c r="AJ498" s="8"/>
      <c r="AK498" s="8" t="s">
        <v>16</v>
      </c>
      <c r="AL498" s="8"/>
      <c r="AM498" s="8"/>
      <c r="AN498" s="8"/>
      <c r="AO498" s="8" t="s">
        <v>17</v>
      </c>
      <c r="AP498" s="8"/>
      <c r="AQ498" s="8"/>
      <c r="AR498" s="10"/>
    </row>
    <row r="499" spans="2:52" ht="15.75" thickBot="1" x14ac:dyDescent="0.3">
      <c r="B499" s="4" t="s">
        <v>19</v>
      </c>
      <c r="C499" s="5"/>
      <c r="D499" s="6"/>
      <c r="E499" s="7">
        <v>44119</v>
      </c>
      <c r="F499" s="8"/>
      <c r="G499" s="8"/>
      <c r="H499" s="8"/>
      <c r="I499" s="9">
        <v>44134</v>
      </c>
      <c r="J499" s="8"/>
      <c r="K499" s="8"/>
      <c r="L499" s="8"/>
      <c r="M499" s="9"/>
      <c r="N499" s="8"/>
      <c r="O499" s="8"/>
      <c r="P499" s="8"/>
      <c r="Q499" s="9"/>
      <c r="R499" s="8"/>
      <c r="S499" s="8"/>
      <c r="T499" s="8"/>
      <c r="U499" s="9"/>
      <c r="V499" s="8"/>
      <c r="W499" s="8"/>
      <c r="X499" s="8"/>
      <c r="Y499" s="9"/>
      <c r="Z499" s="8"/>
      <c r="AA499" s="8"/>
      <c r="AB499" s="8"/>
      <c r="AC499" s="9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10"/>
    </row>
    <row r="500" spans="2:52" ht="15.75" thickBot="1" x14ac:dyDescent="0.3">
      <c r="E500" s="11">
        <v>380</v>
      </c>
      <c r="F500" s="12"/>
      <c r="G500" s="12"/>
      <c r="H500" s="12"/>
      <c r="I500" s="12">
        <v>70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3"/>
    </row>
    <row r="502" spans="2:52" ht="15.75" thickBot="1" x14ac:dyDescent="0.3"/>
    <row r="503" spans="2:52" ht="15.75" thickBot="1" x14ac:dyDescent="0.3">
      <c r="C503" s="1">
        <v>62</v>
      </c>
      <c r="D503" s="14" t="s">
        <v>3</v>
      </c>
      <c r="E503" s="14"/>
      <c r="F503" s="14"/>
      <c r="G503" s="15" t="s">
        <v>4</v>
      </c>
      <c r="H503" s="15"/>
      <c r="I503" s="15"/>
      <c r="J503" s="15"/>
      <c r="K503" s="15"/>
      <c r="L503" s="15"/>
      <c r="M503" s="15" t="s">
        <v>5</v>
      </c>
      <c r="N503" s="15"/>
      <c r="AJ503" s="16" t="s">
        <v>6</v>
      </c>
      <c r="AK503" s="17"/>
      <c r="AL503" s="17"/>
      <c r="AM503" s="17"/>
      <c r="AO503" s="16" t="s">
        <v>7</v>
      </c>
      <c r="AP503" s="17"/>
      <c r="AQ503" s="17"/>
      <c r="AR503" s="17"/>
      <c r="AU503" s="39" t="s">
        <v>20</v>
      </c>
      <c r="AV503" s="40"/>
      <c r="AW503" s="40"/>
      <c r="AX503" s="40"/>
      <c r="AY503" s="40"/>
      <c r="AZ503" s="41"/>
    </row>
    <row r="504" spans="2:52" ht="15.75" thickBot="1" x14ac:dyDescent="0.3">
      <c r="D504" s="22">
        <v>10190</v>
      </c>
      <c r="E504" s="23"/>
      <c r="F504" s="24"/>
      <c r="G504" s="25">
        <v>44167</v>
      </c>
      <c r="H504" s="26"/>
      <c r="I504" s="26"/>
      <c r="J504" s="26"/>
      <c r="K504" s="26"/>
      <c r="L504" s="27"/>
      <c r="M504" s="28">
        <v>6</v>
      </c>
      <c r="N504" s="28"/>
      <c r="AJ504" s="29">
        <v>1260</v>
      </c>
      <c r="AK504" s="30"/>
      <c r="AL504" s="30"/>
      <c r="AM504" s="30"/>
      <c r="AO504" s="42">
        <f>AJ504-E508-I508-M508-Q508-U508-Y108-AC508-AG508-AK508-AO508</f>
        <v>0</v>
      </c>
      <c r="AP504" s="43"/>
      <c r="AQ504" s="43"/>
      <c r="AR504" s="43"/>
      <c r="AU504" s="44" t="s">
        <v>21</v>
      </c>
      <c r="AV504" s="45"/>
      <c r="AW504" s="45"/>
      <c r="AX504" s="45" t="s">
        <v>22</v>
      </c>
      <c r="AY504" s="45"/>
      <c r="AZ504" s="46"/>
    </row>
    <row r="505" spans="2:52" ht="15.75" thickBot="1" x14ac:dyDescent="0.3">
      <c r="AU505" s="47">
        <v>23</v>
      </c>
      <c r="AV505" s="48"/>
      <c r="AW505" s="48"/>
      <c r="AX505" s="48">
        <v>4</v>
      </c>
      <c r="AY505" s="48"/>
      <c r="AZ505" s="49"/>
    </row>
    <row r="506" spans="2:52" ht="15.75" thickBot="1" x14ac:dyDescent="0.3">
      <c r="E506" s="18" t="s">
        <v>8</v>
      </c>
      <c r="F506" s="8"/>
      <c r="G506" s="8"/>
      <c r="H506" s="8"/>
      <c r="I506" s="8" t="s">
        <v>9</v>
      </c>
      <c r="J506" s="8"/>
      <c r="K506" s="8"/>
      <c r="L506" s="8"/>
      <c r="M506" s="8" t="s">
        <v>10</v>
      </c>
      <c r="N506" s="8"/>
      <c r="O506" s="8"/>
      <c r="P506" s="8"/>
      <c r="Q506" s="8" t="s">
        <v>11</v>
      </c>
      <c r="R506" s="8"/>
      <c r="S506" s="8"/>
      <c r="T506" s="8"/>
      <c r="U506" s="8" t="s">
        <v>12</v>
      </c>
      <c r="V506" s="8"/>
      <c r="W506" s="8"/>
      <c r="X506" s="8"/>
      <c r="Y506" s="8" t="s">
        <v>13</v>
      </c>
      <c r="Z506" s="8"/>
      <c r="AA506" s="8"/>
      <c r="AB506" s="8"/>
      <c r="AC506" s="8" t="s">
        <v>14</v>
      </c>
      <c r="AD506" s="8"/>
      <c r="AE506" s="8"/>
      <c r="AF506" s="8"/>
      <c r="AG506" s="8" t="s">
        <v>15</v>
      </c>
      <c r="AH506" s="8"/>
      <c r="AI506" s="8"/>
      <c r="AJ506" s="8"/>
      <c r="AK506" s="8" t="s">
        <v>16</v>
      </c>
      <c r="AL506" s="8"/>
      <c r="AM506" s="8"/>
      <c r="AN506" s="8"/>
      <c r="AO506" s="8" t="s">
        <v>17</v>
      </c>
      <c r="AP506" s="8"/>
      <c r="AQ506" s="8"/>
      <c r="AR506" s="10"/>
    </row>
    <row r="507" spans="2:52" ht="15.75" thickBot="1" x14ac:dyDescent="0.3">
      <c r="B507" s="4" t="s">
        <v>19</v>
      </c>
      <c r="C507" s="5"/>
      <c r="D507" s="6"/>
      <c r="E507" s="7">
        <v>44545</v>
      </c>
      <c r="F507" s="8"/>
      <c r="G507" s="8"/>
      <c r="H507" s="8"/>
      <c r="I507" s="9">
        <v>44560</v>
      </c>
      <c r="J507" s="8"/>
      <c r="K507" s="8"/>
      <c r="L507" s="8"/>
      <c r="M507" s="9">
        <v>44212</v>
      </c>
      <c r="N507" s="8"/>
      <c r="O507" s="8"/>
      <c r="P507" s="8"/>
      <c r="Q507" s="9">
        <v>44226</v>
      </c>
      <c r="R507" s="8"/>
      <c r="S507" s="8"/>
      <c r="T507" s="8"/>
      <c r="U507" s="9">
        <v>44242</v>
      </c>
      <c r="V507" s="8"/>
      <c r="W507" s="8"/>
      <c r="X507" s="8"/>
      <c r="Y507" s="9"/>
      <c r="Z507" s="8"/>
      <c r="AA507" s="8"/>
      <c r="AB507" s="8"/>
      <c r="AC507" s="9">
        <v>44255</v>
      </c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10"/>
    </row>
    <row r="508" spans="2:52" ht="15.75" thickBot="1" x14ac:dyDescent="0.3">
      <c r="E508" s="11">
        <v>210</v>
      </c>
      <c r="F508" s="12"/>
      <c r="G508" s="12"/>
      <c r="H508" s="12"/>
      <c r="I508" s="12">
        <v>210</v>
      </c>
      <c r="J508" s="12"/>
      <c r="K508" s="12"/>
      <c r="L508" s="12"/>
      <c r="M508" s="12">
        <v>210</v>
      </c>
      <c r="N508" s="12"/>
      <c r="O508" s="12"/>
      <c r="P508" s="12"/>
      <c r="Q508" s="12">
        <v>210</v>
      </c>
      <c r="R508" s="12"/>
      <c r="S508" s="12"/>
      <c r="T508" s="12"/>
      <c r="U508" s="12">
        <v>210</v>
      </c>
      <c r="V508" s="12"/>
      <c r="W508" s="12"/>
      <c r="X508" s="12"/>
      <c r="Y508" s="12"/>
      <c r="Z508" s="12"/>
      <c r="AA508" s="12"/>
      <c r="AB508" s="12"/>
      <c r="AC508" s="12">
        <v>210</v>
      </c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3"/>
    </row>
    <row r="510" spans="2:52" ht="15.75" thickBot="1" x14ac:dyDescent="0.3"/>
    <row r="511" spans="2:52" ht="15.75" thickBot="1" x14ac:dyDescent="0.3">
      <c r="C511" s="1">
        <v>63</v>
      </c>
      <c r="D511" s="14" t="s">
        <v>3</v>
      </c>
      <c r="E511" s="14"/>
      <c r="F511" s="14"/>
      <c r="G511" s="15" t="s">
        <v>4</v>
      </c>
      <c r="H511" s="15"/>
      <c r="I511" s="15"/>
      <c r="J511" s="15"/>
      <c r="K511" s="15"/>
      <c r="L511" s="15"/>
      <c r="M511" s="15" t="s">
        <v>5</v>
      </c>
      <c r="N511" s="15"/>
      <c r="AJ511" s="16" t="s">
        <v>6</v>
      </c>
      <c r="AK511" s="17"/>
      <c r="AL511" s="17"/>
      <c r="AM511" s="17"/>
      <c r="AO511" s="16" t="s">
        <v>7</v>
      </c>
      <c r="AP511" s="17"/>
      <c r="AQ511" s="17"/>
      <c r="AR511" s="17"/>
      <c r="AU511" s="39" t="s">
        <v>20</v>
      </c>
      <c r="AV511" s="40"/>
      <c r="AW511" s="40"/>
      <c r="AX511" s="40"/>
      <c r="AY511" s="40"/>
      <c r="AZ511" s="41"/>
    </row>
    <row r="512" spans="2:52" ht="15.75" thickBot="1" x14ac:dyDescent="0.3">
      <c r="D512" s="22">
        <v>12226</v>
      </c>
      <c r="E512" s="23"/>
      <c r="F512" s="24"/>
      <c r="G512" s="25">
        <v>44404</v>
      </c>
      <c r="H512" s="26"/>
      <c r="I512" s="26"/>
      <c r="J512" s="26"/>
      <c r="K512" s="26"/>
      <c r="L512" s="27"/>
      <c r="M512" s="28">
        <v>3</v>
      </c>
      <c r="N512" s="28"/>
      <c r="AJ512" s="29">
        <v>460</v>
      </c>
      <c r="AK512" s="30"/>
      <c r="AL512" s="30"/>
      <c r="AM512" s="30"/>
      <c r="AO512" s="42">
        <f>AJ512-E516-I516-M516-Q516-U516-Y116-AC516-AG516-AK516-AO516</f>
        <v>1</v>
      </c>
      <c r="AP512" s="43"/>
      <c r="AQ512" s="43"/>
      <c r="AR512" s="43"/>
      <c r="AU512" s="44" t="s">
        <v>21</v>
      </c>
      <c r="AV512" s="45"/>
      <c r="AW512" s="45"/>
      <c r="AX512" s="45" t="s">
        <v>22</v>
      </c>
      <c r="AY512" s="45"/>
      <c r="AZ512" s="46"/>
    </row>
    <row r="513" spans="2:52" ht="15.75" thickBot="1" x14ac:dyDescent="0.3">
      <c r="AU513" s="47">
        <v>15</v>
      </c>
      <c r="AV513" s="48"/>
      <c r="AW513" s="48"/>
      <c r="AX513" s="48">
        <v>17</v>
      </c>
      <c r="AY513" s="48"/>
      <c r="AZ513" s="49"/>
    </row>
    <row r="514" spans="2:52" ht="15.75" thickBot="1" x14ac:dyDescent="0.3">
      <c r="E514" s="18" t="s">
        <v>8</v>
      </c>
      <c r="F514" s="8"/>
      <c r="G514" s="8"/>
      <c r="H514" s="8"/>
      <c r="I514" s="8" t="s">
        <v>9</v>
      </c>
      <c r="J514" s="8"/>
      <c r="K514" s="8"/>
      <c r="L514" s="8"/>
      <c r="M514" s="8" t="s">
        <v>10</v>
      </c>
      <c r="N514" s="8"/>
      <c r="O514" s="8"/>
      <c r="P514" s="8"/>
      <c r="Q514" s="8" t="s">
        <v>11</v>
      </c>
      <c r="R514" s="8"/>
      <c r="S514" s="8"/>
      <c r="T514" s="8"/>
      <c r="U514" s="8" t="s">
        <v>12</v>
      </c>
      <c r="V514" s="8"/>
      <c r="W514" s="8"/>
      <c r="X514" s="8"/>
      <c r="Y514" s="8" t="s">
        <v>13</v>
      </c>
      <c r="Z514" s="8"/>
      <c r="AA514" s="8"/>
      <c r="AB514" s="8"/>
      <c r="AC514" s="8" t="s">
        <v>14</v>
      </c>
      <c r="AD514" s="8"/>
      <c r="AE514" s="8"/>
      <c r="AF514" s="8"/>
      <c r="AG514" s="8" t="s">
        <v>15</v>
      </c>
      <c r="AH514" s="8"/>
      <c r="AI514" s="8"/>
      <c r="AJ514" s="8"/>
      <c r="AK514" s="8" t="s">
        <v>16</v>
      </c>
      <c r="AL514" s="8"/>
      <c r="AM514" s="8"/>
      <c r="AN514" s="8"/>
      <c r="AO514" s="8" t="s">
        <v>17</v>
      </c>
      <c r="AP514" s="8"/>
      <c r="AQ514" s="8"/>
      <c r="AR514" s="10"/>
    </row>
    <row r="515" spans="2:52" ht="15.75" thickBot="1" x14ac:dyDescent="0.3">
      <c r="B515" s="4" t="s">
        <v>19</v>
      </c>
      <c r="C515" s="5"/>
      <c r="D515" s="6"/>
      <c r="E515" s="7">
        <v>44423</v>
      </c>
      <c r="F515" s="8"/>
      <c r="G515" s="8"/>
      <c r="H515" s="8"/>
      <c r="I515" s="9">
        <v>44438</v>
      </c>
      <c r="J515" s="8"/>
      <c r="K515" s="8"/>
      <c r="L515" s="8"/>
      <c r="M515" s="9">
        <v>44454</v>
      </c>
      <c r="N515" s="8"/>
      <c r="O515" s="8"/>
      <c r="P515" s="8"/>
      <c r="Q515" s="9"/>
      <c r="R515" s="8"/>
      <c r="S515" s="8"/>
      <c r="T515" s="8"/>
      <c r="U515" s="9"/>
      <c r="V515" s="8"/>
      <c r="W515" s="8"/>
      <c r="X515" s="8"/>
      <c r="Y515" s="9"/>
      <c r="Z515" s="8"/>
      <c r="AA515" s="8"/>
      <c r="AB515" s="8"/>
      <c r="AC515" s="9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10"/>
    </row>
    <row r="516" spans="2:52" ht="15.75" thickBot="1" x14ac:dyDescent="0.3">
      <c r="E516" s="11">
        <v>153</v>
      </c>
      <c r="F516" s="12"/>
      <c r="G516" s="12"/>
      <c r="H516" s="12"/>
      <c r="I516" s="12">
        <v>153</v>
      </c>
      <c r="J516" s="12"/>
      <c r="K516" s="12"/>
      <c r="L516" s="12"/>
      <c r="M516" s="12">
        <v>153</v>
      </c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3"/>
    </row>
    <row r="518" spans="2:52" ht="15.75" thickBot="1" x14ac:dyDescent="0.3"/>
    <row r="519" spans="2:52" ht="15.75" thickBot="1" x14ac:dyDescent="0.3">
      <c r="C519" s="1">
        <v>64</v>
      </c>
      <c r="D519" s="14" t="s">
        <v>3</v>
      </c>
      <c r="E519" s="14"/>
      <c r="F519" s="14"/>
      <c r="G519" s="15" t="s">
        <v>4</v>
      </c>
      <c r="H519" s="15"/>
      <c r="I519" s="15"/>
      <c r="J519" s="15"/>
      <c r="K519" s="15"/>
      <c r="L519" s="15"/>
      <c r="M519" s="15" t="s">
        <v>5</v>
      </c>
      <c r="N519" s="15"/>
      <c r="AJ519" s="16" t="s">
        <v>6</v>
      </c>
      <c r="AK519" s="17"/>
      <c r="AL519" s="17"/>
      <c r="AM519" s="17"/>
      <c r="AO519" s="16" t="s">
        <v>7</v>
      </c>
      <c r="AP519" s="17"/>
      <c r="AQ519" s="17"/>
      <c r="AR519" s="17"/>
      <c r="AU519" s="39" t="s">
        <v>20</v>
      </c>
      <c r="AV519" s="40"/>
      <c r="AW519" s="40"/>
      <c r="AX519" s="40"/>
      <c r="AY519" s="40"/>
      <c r="AZ519" s="41"/>
    </row>
    <row r="520" spans="2:52" ht="15.75" thickBot="1" x14ac:dyDescent="0.3">
      <c r="D520" s="22">
        <v>12248</v>
      </c>
      <c r="E520" s="23"/>
      <c r="F520" s="24"/>
      <c r="G520" s="25">
        <v>44410</v>
      </c>
      <c r="H520" s="26"/>
      <c r="I520" s="26"/>
      <c r="J520" s="26"/>
      <c r="K520" s="26"/>
      <c r="L520" s="27"/>
      <c r="M520" s="28">
        <v>3</v>
      </c>
      <c r="N520" s="28"/>
      <c r="AJ520" s="29">
        <v>450</v>
      </c>
      <c r="AK520" s="30"/>
      <c r="AL520" s="30"/>
      <c r="AM520" s="30"/>
      <c r="AO520" s="42">
        <f>AJ520-E524-I524-M524-Q524-U524-Y124-AC524-AG524-AK524-AO524</f>
        <v>0</v>
      </c>
      <c r="AP520" s="43"/>
      <c r="AQ520" s="43"/>
      <c r="AR520" s="43"/>
      <c r="AU520" s="44" t="s">
        <v>21</v>
      </c>
      <c r="AV520" s="45"/>
      <c r="AW520" s="45"/>
      <c r="AX520" s="45" t="s">
        <v>22</v>
      </c>
      <c r="AY520" s="45"/>
      <c r="AZ520" s="46"/>
    </row>
    <row r="521" spans="2:52" ht="15.75" thickBot="1" x14ac:dyDescent="0.3">
      <c r="AU521" s="47">
        <v>15</v>
      </c>
      <c r="AV521" s="48"/>
      <c r="AW521" s="48"/>
      <c r="AX521" s="48">
        <v>17</v>
      </c>
      <c r="AY521" s="48"/>
      <c r="AZ521" s="49"/>
    </row>
    <row r="522" spans="2:52" ht="15.75" thickBot="1" x14ac:dyDescent="0.3">
      <c r="E522" s="18" t="s">
        <v>8</v>
      </c>
      <c r="F522" s="8"/>
      <c r="G522" s="8"/>
      <c r="H522" s="8"/>
      <c r="I522" s="8" t="s">
        <v>9</v>
      </c>
      <c r="J522" s="8"/>
      <c r="K522" s="8"/>
      <c r="L522" s="8"/>
      <c r="M522" s="8" t="s">
        <v>10</v>
      </c>
      <c r="N522" s="8"/>
      <c r="O522" s="8"/>
      <c r="P522" s="8"/>
      <c r="Q522" s="8" t="s">
        <v>11</v>
      </c>
      <c r="R522" s="8"/>
      <c r="S522" s="8"/>
      <c r="T522" s="8"/>
      <c r="U522" s="8" t="s">
        <v>12</v>
      </c>
      <c r="V522" s="8"/>
      <c r="W522" s="8"/>
      <c r="X522" s="8"/>
      <c r="Y522" s="8" t="s">
        <v>13</v>
      </c>
      <c r="Z522" s="8"/>
      <c r="AA522" s="8"/>
      <c r="AB522" s="8"/>
      <c r="AC522" s="8" t="s">
        <v>14</v>
      </c>
      <c r="AD522" s="8"/>
      <c r="AE522" s="8"/>
      <c r="AF522" s="8"/>
      <c r="AG522" s="8" t="s">
        <v>15</v>
      </c>
      <c r="AH522" s="8"/>
      <c r="AI522" s="8"/>
      <c r="AJ522" s="8"/>
      <c r="AK522" s="8" t="s">
        <v>16</v>
      </c>
      <c r="AL522" s="8"/>
      <c r="AM522" s="8"/>
      <c r="AN522" s="8"/>
      <c r="AO522" s="8" t="s">
        <v>17</v>
      </c>
      <c r="AP522" s="8"/>
      <c r="AQ522" s="8"/>
      <c r="AR522" s="10"/>
    </row>
    <row r="523" spans="2:52" ht="15.75" thickBot="1" x14ac:dyDescent="0.3">
      <c r="B523" s="4" t="s">
        <v>19</v>
      </c>
      <c r="C523" s="5"/>
      <c r="D523" s="6"/>
      <c r="E523" s="7">
        <v>44423</v>
      </c>
      <c r="F523" s="8"/>
      <c r="G523" s="8"/>
      <c r="H523" s="8"/>
      <c r="I523" s="9">
        <v>44438</v>
      </c>
      <c r="J523" s="8"/>
      <c r="K523" s="8"/>
      <c r="L523" s="8"/>
      <c r="M523" s="9">
        <v>44454</v>
      </c>
      <c r="N523" s="8"/>
      <c r="O523" s="8"/>
      <c r="P523" s="8"/>
      <c r="Q523" s="9"/>
      <c r="R523" s="8"/>
      <c r="S523" s="8"/>
      <c r="T523" s="8"/>
      <c r="U523" s="9"/>
      <c r="V523" s="8"/>
      <c r="W523" s="8"/>
      <c r="X523" s="8"/>
      <c r="Y523" s="9"/>
      <c r="Z523" s="8"/>
      <c r="AA523" s="8"/>
      <c r="AB523" s="8"/>
      <c r="AC523" s="9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10"/>
    </row>
    <row r="524" spans="2:52" ht="15.75" thickBot="1" x14ac:dyDescent="0.3">
      <c r="E524" s="11">
        <v>150</v>
      </c>
      <c r="F524" s="12"/>
      <c r="G524" s="12"/>
      <c r="H524" s="12"/>
      <c r="I524" s="12">
        <v>150</v>
      </c>
      <c r="J524" s="12"/>
      <c r="K524" s="12"/>
      <c r="L524" s="12"/>
      <c r="M524" s="12">
        <v>150</v>
      </c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3"/>
    </row>
    <row r="526" spans="2:52" ht="15.75" thickBot="1" x14ac:dyDescent="0.3"/>
    <row r="527" spans="2:52" ht="15.75" thickBot="1" x14ac:dyDescent="0.3">
      <c r="C527" s="1">
        <v>65</v>
      </c>
      <c r="D527" s="14" t="s">
        <v>3</v>
      </c>
      <c r="E527" s="14"/>
      <c r="F527" s="14"/>
      <c r="G527" s="15" t="s">
        <v>4</v>
      </c>
      <c r="H527" s="15"/>
      <c r="I527" s="15"/>
      <c r="J527" s="15"/>
      <c r="K527" s="15"/>
      <c r="L527" s="15"/>
      <c r="M527" s="15" t="s">
        <v>5</v>
      </c>
      <c r="N527" s="15"/>
      <c r="AJ527" s="16" t="s">
        <v>6</v>
      </c>
      <c r="AK527" s="17"/>
      <c r="AL527" s="17"/>
      <c r="AM527" s="17"/>
      <c r="AO527" s="16" t="s">
        <v>7</v>
      </c>
      <c r="AP527" s="17"/>
      <c r="AQ527" s="17"/>
      <c r="AR527" s="17"/>
      <c r="AU527" s="39" t="s">
        <v>20</v>
      </c>
      <c r="AV527" s="40"/>
      <c r="AW527" s="40"/>
      <c r="AX527" s="40"/>
      <c r="AY527" s="40"/>
      <c r="AZ527" s="41"/>
    </row>
    <row r="528" spans="2:52" ht="15.75" thickBot="1" x14ac:dyDescent="0.3">
      <c r="D528" s="22">
        <v>207</v>
      </c>
      <c r="E528" s="23"/>
      <c r="F528" s="24"/>
      <c r="G528" s="25">
        <v>44480</v>
      </c>
      <c r="H528" s="26"/>
      <c r="I528" s="26"/>
      <c r="J528" s="26"/>
      <c r="K528" s="26"/>
      <c r="L528" s="27"/>
      <c r="M528" s="28">
        <v>4</v>
      </c>
      <c r="N528" s="28"/>
      <c r="AJ528" s="29">
        <v>660</v>
      </c>
      <c r="AK528" s="30"/>
      <c r="AL528" s="30"/>
      <c r="AM528" s="30"/>
      <c r="AO528" s="42">
        <f>AJ528-E532-I532-M532-Q532-U532-Y132-AC532-AG532-AK532-AO532</f>
        <v>0</v>
      </c>
      <c r="AP528" s="43"/>
      <c r="AQ528" s="43"/>
      <c r="AR528" s="43"/>
      <c r="AU528" s="44" t="s">
        <v>21</v>
      </c>
      <c r="AV528" s="45"/>
      <c r="AW528" s="45"/>
      <c r="AX528" s="45" t="s">
        <v>22</v>
      </c>
      <c r="AY528" s="45"/>
      <c r="AZ528" s="46"/>
    </row>
    <row r="529" spans="2:52" ht="15.75" thickBot="1" x14ac:dyDescent="0.3">
      <c r="AU529" s="47">
        <v>20</v>
      </c>
      <c r="AV529" s="48"/>
      <c r="AW529" s="48"/>
      <c r="AX529" s="48">
        <v>23</v>
      </c>
      <c r="AY529" s="48"/>
      <c r="AZ529" s="49"/>
    </row>
    <row r="530" spans="2:52" ht="15.75" thickBot="1" x14ac:dyDescent="0.3">
      <c r="E530" s="18" t="s">
        <v>8</v>
      </c>
      <c r="F530" s="8"/>
      <c r="G530" s="8"/>
      <c r="H530" s="8"/>
      <c r="I530" s="8" t="s">
        <v>9</v>
      </c>
      <c r="J530" s="8"/>
      <c r="K530" s="8"/>
      <c r="L530" s="8"/>
      <c r="M530" s="8" t="s">
        <v>10</v>
      </c>
      <c r="N530" s="8"/>
      <c r="O530" s="8"/>
      <c r="P530" s="8"/>
      <c r="Q530" s="8" t="s">
        <v>11</v>
      </c>
      <c r="R530" s="8"/>
      <c r="S530" s="8"/>
      <c r="T530" s="8"/>
      <c r="U530" s="8" t="s">
        <v>12</v>
      </c>
      <c r="V530" s="8"/>
      <c r="W530" s="8"/>
      <c r="X530" s="8"/>
      <c r="Y530" s="8" t="s">
        <v>13</v>
      </c>
      <c r="Z530" s="8"/>
      <c r="AA530" s="8"/>
      <c r="AB530" s="8"/>
      <c r="AC530" s="8" t="s">
        <v>14</v>
      </c>
      <c r="AD530" s="8"/>
      <c r="AE530" s="8"/>
      <c r="AF530" s="8"/>
      <c r="AG530" s="8" t="s">
        <v>15</v>
      </c>
      <c r="AH530" s="8"/>
      <c r="AI530" s="8"/>
      <c r="AJ530" s="8"/>
      <c r="AK530" s="8" t="s">
        <v>16</v>
      </c>
      <c r="AL530" s="8"/>
      <c r="AM530" s="8"/>
      <c r="AN530" s="8"/>
      <c r="AO530" s="8" t="s">
        <v>17</v>
      </c>
      <c r="AP530" s="8"/>
      <c r="AQ530" s="8"/>
      <c r="AR530" s="10"/>
    </row>
    <row r="531" spans="2:52" ht="15.75" thickBot="1" x14ac:dyDescent="0.3">
      <c r="B531" s="4" t="s">
        <v>19</v>
      </c>
      <c r="C531" s="5"/>
      <c r="D531" s="6"/>
      <c r="E531" s="7">
        <v>44499</v>
      </c>
      <c r="F531" s="8"/>
      <c r="G531" s="8"/>
      <c r="H531" s="8"/>
      <c r="I531" s="9">
        <v>44516</v>
      </c>
      <c r="J531" s="8"/>
      <c r="K531" s="8"/>
      <c r="L531" s="8"/>
      <c r="M531" s="9">
        <v>44530</v>
      </c>
      <c r="N531" s="8"/>
      <c r="O531" s="8"/>
      <c r="P531" s="8"/>
      <c r="Q531" s="9">
        <v>44545</v>
      </c>
      <c r="R531" s="8"/>
      <c r="S531" s="8"/>
      <c r="T531" s="8"/>
      <c r="U531" s="9"/>
      <c r="V531" s="8"/>
      <c r="W531" s="8"/>
      <c r="X531" s="8"/>
      <c r="Y531" s="9"/>
      <c r="Z531" s="8"/>
      <c r="AA531" s="8"/>
      <c r="AB531" s="8"/>
      <c r="AC531" s="9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10"/>
    </row>
    <row r="532" spans="2:52" ht="15.75" thickBot="1" x14ac:dyDescent="0.3">
      <c r="E532" s="11">
        <v>165</v>
      </c>
      <c r="F532" s="12"/>
      <c r="G532" s="12"/>
      <c r="H532" s="12"/>
      <c r="I532" s="12">
        <v>165</v>
      </c>
      <c r="J532" s="12"/>
      <c r="K532" s="12"/>
      <c r="L532" s="12"/>
      <c r="M532" s="12">
        <v>165</v>
      </c>
      <c r="N532" s="12"/>
      <c r="O532" s="12"/>
      <c r="P532" s="12"/>
      <c r="Q532" s="12">
        <v>165</v>
      </c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3"/>
    </row>
    <row r="535" spans="2:52" ht="15.75" thickBot="1" x14ac:dyDescent="0.3"/>
    <row r="536" spans="2:52" ht="15.75" thickBot="1" x14ac:dyDescent="0.3">
      <c r="C536" s="1">
        <v>66</v>
      </c>
      <c r="D536" s="14" t="s">
        <v>3</v>
      </c>
      <c r="E536" s="14"/>
      <c r="F536" s="14"/>
      <c r="G536" s="15" t="s">
        <v>4</v>
      </c>
      <c r="H536" s="15"/>
      <c r="I536" s="15"/>
      <c r="J536" s="15"/>
      <c r="K536" s="15"/>
      <c r="L536" s="15"/>
      <c r="M536" s="15" t="s">
        <v>5</v>
      </c>
      <c r="N536" s="15"/>
      <c r="AJ536" s="16" t="s">
        <v>6</v>
      </c>
      <c r="AK536" s="17"/>
      <c r="AL536" s="17"/>
      <c r="AM536" s="17"/>
      <c r="AO536" s="16" t="s">
        <v>7</v>
      </c>
      <c r="AP536" s="17"/>
      <c r="AQ536" s="17"/>
      <c r="AR536" s="17"/>
      <c r="AU536" s="39" t="s">
        <v>20</v>
      </c>
      <c r="AV536" s="40"/>
      <c r="AW536" s="40"/>
      <c r="AX536" s="40"/>
      <c r="AY536" s="40"/>
      <c r="AZ536" s="41"/>
    </row>
    <row r="537" spans="2:52" ht="15.75" thickBot="1" x14ac:dyDescent="0.3">
      <c r="D537" s="22">
        <v>623</v>
      </c>
      <c r="E537" s="23"/>
      <c r="F537" s="24"/>
      <c r="G537" s="25">
        <v>44547</v>
      </c>
      <c r="H537" s="26"/>
      <c r="I537" s="26"/>
      <c r="J537" s="26"/>
      <c r="K537" s="26"/>
      <c r="L537" s="27"/>
      <c r="M537" s="28">
        <v>3</v>
      </c>
      <c r="N537" s="28"/>
      <c r="AJ537" s="29">
        <v>430</v>
      </c>
      <c r="AK537" s="30"/>
      <c r="AL537" s="30"/>
      <c r="AM537" s="30"/>
      <c r="AO537" s="42">
        <f>AJ537-E541-I541-M541-Q541-U541-Y141-AC541-AG541-AK541-AO541</f>
        <v>0</v>
      </c>
      <c r="AP537" s="43"/>
      <c r="AQ537" s="43"/>
      <c r="AR537" s="43"/>
      <c r="AU537" s="44" t="s">
        <v>21</v>
      </c>
      <c r="AV537" s="45"/>
      <c r="AW537" s="45"/>
      <c r="AX537" s="45" t="s">
        <v>22</v>
      </c>
      <c r="AY537" s="45"/>
      <c r="AZ537" s="46"/>
    </row>
    <row r="538" spans="2:52" ht="15.75" thickBot="1" x14ac:dyDescent="0.3">
      <c r="AU538" s="47">
        <v>24</v>
      </c>
      <c r="AV538" s="48"/>
      <c r="AW538" s="48"/>
      <c r="AX538" s="48">
        <v>2</v>
      </c>
      <c r="AY538" s="48"/>
      <c r="AZ538" s="49"/>
    </row>
    <row r="539" spans="2:52" ht="15.75" thickBot="1" x14ac:dyDescent="0.3">
      <c r="E539" s="18" t="s">
        <v>8</v>
      </c>
      <c r="F539" s="8"/>
      <c r="G539" s="8"/>
      <c r="H539" s="8"/>
      <c r="I539" s="8" t="s">
        <v>9</v>
      </c>
      <c r="J539" s="8"/>
      <c r="K539" s="8"/>
      <c r="L539" s="8"/>
      <c r="M539" s="8" t="s">
        <v>10</v>
      </c>
      <c r="N539" s="8"/>
      <c r="O539" s="8"/>
      <c r="P539" s="8"/>
      <c r="Q539" s="8" t="s">
        <v>11</v>
      </c>
      <c r="R539" s="8"/>
      <c r="S539" s="8"/>
      <c r="T539" s="8"/>
      <c r="U539" s="8" t="s">
        <v>12</v>
      </c>
      <c r="V539" s="8"/>
      <c r="W539" s="8"/>
      <c r="X539" s="8"/>
      <c r="Y539" s="8" t="s">
        <v>13</v>
      </c>
      <c r="Z539" s="8"/>
      <c r="AA539" s="8"/>
      <c r="AB539" s="8"/>
      <c r="AC539" s="8" t="s">
        <v>14</v>
      </c>
      <c r="AD539" s="8"/>
      <c r="AE539" s="8"/>
      <c r="AF539" s="8"/>
      <c r="AG539" s="8" t="s">
        <v>15</v>
      </c>
      <c r="AH539" s="8"/>
      <c r="AI539" s="8"/>
      <c r="AJ539" s="8"/>
      <c r="AK539" s="8" t="s">
        <v>16</v>
      </c>
      <c r="AL539" s="8"/>
      <c r="AM539" s="8"/>
      <c r="AN539" s="8"/>
      <c r="AO539" s="8" t="s">
        <v>17</v>
      </c>
      <c r="AP539" s="8"/>
      <c r="AQ539" s="8"/>
      <c r="AR539" s="10"/>
    </row>
    <row r="540" spans="2:52" ht="15.75" thickBot="1" x14ac:dyDescent="0.3">
      <c r="B540" s="4" t="s">
        <v>19</v>
      </c>
      <c r="C540" s="5"/>
      <c r="D540" s="6"/>
      <c r="E540" s="7">
        <v>44925</v>
      </c>
      <c r="F540" s="8"/>
      <c r="G540" s="8"/>
      <c r="H540" s="8"/>
      <c r="I540" s="9">
        <v>44576</v>
      </c>
      <c r="J540" s="8"/>
      <c r="K540" s="8"/>
      <c r="L540" s="8"/>
      <c r="M540" s="9">
        <v>44591</v>
      </c>
      <c r="N540" s="8"/>
      <c r="O540" s="8"/>
      <c r="P540" s="8"/>
      <c r="Q540" s="9"/>
      <c r="R540" s="8"/>
      <c r="S540" s="8"/>
      <c r="T540" s="8"/>
      <c r="U540" s="9"/>
      <c r="V540" s="8"/>
      <c r="W540" s="8"/>
      <c r="X540" s="8"/>
      <c r="Y540" s="9"/>
      <c r="Z540" s="8"/>
      <c r="AA540" s="8"/>
      <c r="AB540" s="8"/>
      <c r="AC540" s="9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10"/>
    </row>
    <row r="541" spans="2:52" ht="15.75" thickBot="1" x14ac:dyDescent="0.3">
      <c r="E541" s="11">
        <v>144</v>
      </c>
      <c r="F541" s="12"/>
      <c r="G541" s="12"/>
      <c r="H541" s="12"/>
      <c r="I541" s="12">
        <v>144</v>
      </c>
      <c r="J541" s="12"/>
      <c r="K541" s="12"/>
      <c r="L541" s="12"/>
      <c r="M541" s="12">
        <v>142</v>
      </c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3"/>
    </row>
    <row r="543" spans="2:52" ht="15.75" thickBot="1" x14ac:dyDescent="0.3"/>
    <row r="544" spans="2:52" ht="15.75" thickBot="1" x14ac:dyDescent="0.3">
      <c r="C544" s="1">
        <v>67</v>
      </c>
      <c r="D544" s="14" t="s">
        <v>3</v>
      </c>
      <c r="E544" s="14"/>
      <c r="F544" s="14"/>
      <c r="G544" s="15" t="s">
        <v>4</v>
      </c>
      <c r="H544" s="15"/>
      <c r="I544" s="15"/>
      <c r="J544" s="15"/>
      <c r="K544" s="15"/>
      <c r="L544" s="15"/>
      <c r="M544" s="15" t="s">
        <v>5</v>
      </c>
      <c r="N544" s="15"/>
      <c r="AJ544" s="16" t="s">
        <v>6</v>
      </c>
      <c r="AK544" s="17"/>
      <c r="AL544" s="17"/>
      <c r="AM544" s="17"/>
      <c r="AO544" s="16" t="s">
        <v>7</v>
      </c>
      <c r="AP544" s="17"/>
      <c r="AQ544" s="17"/>
      <c r="AR544" s="17"/>
      <c r="AU544" s="39" t="s">
        <v>20</v>
      </c>
      <c r="AV544" s="40"/>
      <c r="AW544" s="40"/>
      <c r="AX544" s="40"/>
      <c r="AY544" s="40"/>
      <c r="AZ544" s="41"/>
    </row>
    <row r="545" spans="2:52" ht="15.75" thickBot="1" x14ac:dyDescent="0.3">
      <c r="D545" s="22">
        <v>1041</v>
      </c>
      <c r="E545" s="23"/>
      <c r="F545" s="24"/>
      <c r="G545" s="25">
        <v>44786</v>
      </c>
      <c r="H545" s="26"/>
      <c r="I545" s="26"/>
      <c r="J545" s="26"/>
      <c r="K545" s="26"/>
      <c r="L545" s="27"/>
      <c r="M545" s="28">
        <v>5</v>
      </c>
      <c r="N545" s="28"/>
      <c r="AJ545" s="29">
        <v>920</v>
      </c>
      <c r="AK545" s="30"/>
      <c r="AL545" s="30"/>
      <c r="AM545" s="30"/>
      <c r="AO545" s="42">
        <f>AJ545-E549-I549-M549-Q549-U549-Y149-AC549-AG549-AK549-AO549</f>
        <v>0</v>
      </c>
      <c r="AP545" s="43"/>
      <c r="AQ545" s="43"/>
      <c r="AR545" s="43"/>
      <c r="AU545" s="44" t="s">
        <v>21</v>
      </c>
      <c r="AV545" s="45"/>
      <c r="AW545" s="45"/>
      <c r="AX545" s="45" t="s">
        <v>22</v>
      </c>
      <c r="AY545" s="45"/>
      <c r="AZ545" s="46"/>
    </row>
    <row r="546" spans="2:52" ht="15.75" thickBot="1" x14ac:dyDescent="0.3">
      <c r="AU546" s="47">
        <v>6</v>
      </c>
      <c r="AV546" s="48"/>
      <c r="AW546" s="48"/>
      <c r="AX546" s="48">
        <v>10</v>
      </c>
      <c r="AY546" s="48"/>
      <c r="AZ546" s="49"/>
    </row>
    <row r="547" spans="2:52" ht="15.75" thickBot="1" x14ac:dyDescent="0.3">
      <c r="E547" s="18" t="s">
        <v>8</v>
      </c>
      <c r="F547" s="8"/>
      <c r="G547" s="8"/>
      <c r="H547" s="8"/>
      <c r="I547" s="8" t="s">
        <v>9</v>
      </c>
      <c r="J547" s="8"/>
      <c r="K547" s="8"/>
      <c r="L547" s="8"/>
      <c r="M547" s="8" t="s">
        <v>10</v>
      </c>
      <c r="N547" s="8"/>
      <c r="O547" s="8"/>
      <c r="P547" s="8"/>
      <c r="Q547" s="8" t="s">
        <v>11</v>
      </c>
      <c r="R547" s="8"/>
      <c r="S547" s="8"/>
      <c r="T547" s="8"/>
      <c r="U547" s="8" t="s">
        <v>12</v>
      </c>
      <c r="V547" s="8"/>
      <c r="W547" s="8"/>
      <c r="X547" s="8"/>
      <c r="Y547" s="8" t="s">
        <v>13</v>
      </c>
      <c r="Z547" s="8"/>
      <c r="AA547" s="8"/>
      <c r="AB547" s="8"/>
      <c r="AC547" s="8" t="s">
        <v>14</v>
      </c>
      <c r="AD547" s="8"/>
      <c r="AE547" s="8"/>
      <c r="AF547" s="8"/>
      <c r="AG547" s="8" t="s">
        <v>15</v>
      </c>
      <c r="AH547" s="8"/>
      <c r="AI547" s="8"/>
      <c r="AJ547" s="8"/>
      <c r="AK547" s="8" t="s">
        <v>16</v>
      </c>
      <c r="AL547" s="8"/>
      <c r="AM547" s="8"/>
      <c r="AN547" s="8"/>
      <c r="AO547" s="8" t="s">
        <v>17</v>
      </c>
      <c r="AP547" s="8"/>
      <c r="AQ547" s="8"/>
      <c r="AR547" s="10"/>
    </row>
    <row r="548" spans="2:52" ht="15.75" thickBot="1" x14ac:dyDescent="0.3">
      <c r="B548" s="4" t="s">
        <v>19</v>
      </c>
      <c r="C548" s="5"/>
      <c r="D548" s="6"/>
      <c r="E548" s="7">
        <v>44650</v>
      </c>
      <c r="F548" s="8"/>
      <c r="G548" s="8"/>
      <c r="H548" s="8"/>
      <c r="I548" s="9">
        <v>44667</v>
      </c>
      <c r="J548" s="8"/>
      <c r="K548" s="8"/>
      <c r="L548" s="8"/>
      <c r="M548" s="9">
        <v>44682</v>
      </c>
      <c r="N548" s="8"/>
      <c r="O548" s="8"/>
      <c r="P548" s="8"/>
      <c r="Q548" s="9">
        <v>44696</v>
      </c>
      <c r="R548" s="8"/>
      <c r="S548" s="8"/>
      <c r="T548" s="8"/>
      <c r="U548" s="9">
        <v>44711</v>
      </c>
      <c r="V548" s="8"/>
      <c r="W548" s="8"/>
      <c r="X548" s="8"/>
      <c r="Y548" s="9"/>
      <c r="Z548" s="8"/>
      <c r="AA548" s="8"/>
      <c r="AB548" s="8"/>
      <c r="AC548" s="9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10"/>
    </row>
    <row r="549" spans="2:52" ht="15.75" thickBot="1" x14ac:dyDescent="0.3">
      <c r="E549" s="11">
        <v>184</v>
      </c>
      <c r="F549" s="12"/>
      <c r="G549" s="12"/>
      <c r="H549" s="12"/>
      <c r="I549" s="12">
        <v>184</v>
      </c>
      <c r="J549" s="12"/>
      <c r="K549" s="12"/>
      <c r="L549" s="12"/>
      <c r="M549" s="12">
        <v>184</v>
      </c>
      <c r="N549" s="12"/>
      <c r="O549" s="12"/>
      <c r="P549" s="12"/>
      <c r="Q549" s="12">
        <v>184</v>
      </c>
      <c r="R549" s="12"/>
      <c r="S549" s="12"/>
      <c r="T549" s="12"/>
      <c r="U549" s="12">
        <v>184</v>
      </c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3"/>
    </row>
    <row r="551" spans="2:52" ht="15.75" thickBot="1" x14ac:dyDescent="0.3"/>
    <row r="552" spans="2:52" ht="15.75" thickBot="1" x14ac:dyDescent="0.3">
      <c r="C552" s="1">
        <v>68</v>
      </c>
      <c r="D552" s="14" t="s">
        <v>3</v>
      </c>
      <c r="E552" s="14"/>
      <c r="F552" s="14"/>
      <c r="G552" s="15" t="s">
        <v>4</v>
      </c>
      <c r="H552" s="15"/>
      <c r="I552" s="15"/>
      <c r="J552" s="15"/>
      <c r="K552" s="15"/>
      <c r="L552" s="15"/>
      <c r="M552" s="15" t="s">
        <v>5</v>
      </c>
      <c r="N552" s="15"/>
      <c r="AJ552" s="16" t="s">
        <v>6</v>
      </c>
      <c r="AK552" s="17"/>
      <c r="AL552" s="17"/>
      <c r="AM552" s="17"/>
      <c r="AO552" s="16" t="s">
        <v>7</v>
      </c>
      <c r="AP552" s="17"/>
      <c r="AQ552" s="17"/>
      <c r="AR552" s="17"/>
      <c r="AU552" s="39" t="s">
        <v>20</v>
      </c>
      <c r="AV552" s="40"/>
      <c r="AW552" s="40"/>
      <c r="AX552" s="40"/>
      <c r="AY552" s="40"/>
      <c r="AZ552" s="41"/>
    </row>
    <row r="553" spans="2:52" ht="15.75" thickBot="1" x14ac:dyDescent="0.3">
      <c r="D553" s="22">
        <v>1558</v>
      </c>
      <c r="E553" s="23"/>
      <c r="F553" s="24"/>
      <c r="G553" s="25">
        <v>44711</v>
      </c>
      <c r="H553" s="26"/>
      <c r="I553" s="26"/>
      <c r="J553" s="26"/>
      <c r="K553" s="26"/>
      <c r="L553" s="27"/>
      <c r="M553" s="28">
        <v>6</v>
      </c>
      <c r="N553" s="28"/>
      <c r="AJ553" s="29">
        <v>1420</v>
      </c>
      <c r="AK553" s="30"/>
      <c r="AL553" s="30"/>
      <c r="AM553" s="30"/>
      <c r="AO553" s="42">
        <f>AJ553-E557-I557-M557-Q557-U557-Y157-AC557-AG557-AK557-AO557</f>
        <v>0</v>
      </c>
      <c r="AP553" s="43"/>
      <c r="AQ553" s="43"/>
      <c r="AR553" s="43"/>
      <c r="AU553" s="44" t="s">
        <v>21</v>
      </c>
      <c r="AV553" s="45"/>
      <c r="AW553" s="45"/>
      <c r="AX553" s="45" t="s">
        <v>22</v>
      </c>
      <c r="AY553" s="45"/>
      <c r="AZ553" s="46"/>
    </row>
    <row r="554" spans="2:52" ht="15.75" thickBot="1" x14ac:dyDescent="0.3">
      <c r="AU554" s="47">
        <v>11</v>
      </c>
      <c r="AV554" s="48"/>
      <c r="AW554" s="48"/>
      <c r="AX554" s="48">
        <v>16</v>
      </c>
      <c r="AY554" s="48"/>
      <c r="AZ554" s="49"/>
    </row>
    <row r="555" spans="2:52" ht="15.75" thickBot="1" x14ac:dyDescent="0.3">
      <c r="E555" s="18" t="s">
        <v>8</v>
      </c>
      <c r="F555" s="8"/>
      <c r="G555" s="8"/>
      <c r="H555" s="8"/>
      <c r="I555" s="8" t="s">
        <v>9</v>
      </c>
      <c r="J555" s="8"/>
      <c r="K555" s="8"/>
      <c r="L555" s="8"/>
      <c r="M555" s="8" t="s">
        <v>10</v>
      </c>
      <c r="N555" s="8"/>
      <c r="O555" s="8"/>
      <c r="P555" s="8"/>
      <c r="Q555" s="8" t="s">
        <v>11</v>
      </c>
      <c r="R555" s="8"/>
      <c r="S555" s="8"/>
      <c r="T555" s="8"/>
      <c r="U555" s="8" t="s">
        <v>12</v>
      </c>
      <c r="V555" s="8"/>
      <c r="W555" s="8"/>
      <c r="X555" s="8"/>
      <c r="Y555" s="8" t="s">
        <v>13</v>
      </c>
      <c r="Z555" s="8"/>
      <c r="AA555" s="8"/>
      <c r="AB555" s="8"/>
      <c r="AC555" s="8" t="s">
        <v>14</v>
      </c>
      <c r="AD555" s="8"/>
      <c r="AE555" s="8"/>
      <c r="AF555" s="8"/>
      <c r="AG555" s="8" t="s">
        <v>15</v>
      </c>
      <c r="AH555" s="8"/>
      <c r="AI555" s="8"/>
      <c r="AJ555" s="8"/>
      <c r="AK555" s="8" t="s">
        <v>16</v>
      </c>
      <c r="AL555" s="8"/>
      <c r="AM555" s="8"/>
      <c r="AN555" s="8"/>
      <c r="AO555" s="8" t="s">
        <v>17</v>
      </c>
      <c r="AP555" s="8"/>
      <c r="AQ555" s="8"/>
      <c r="AR555" s="10"/>
    </row>
    <row r="556" spans="2:52" ht="15.75" thickBot="1" x14ac:dyDescent="0.3">
      <c r="B556" s="4" t="s">
        <v>19</v>
      </c>
      <c r="C556" s="5"/>
      <c r="D556" s="6"/>
      <c r="E556" s="7">
        <v>44728</v>
      </c>
      <c r="F556" s="8"/>
      <c r="G556" s="8"/>
      <c r="H556" s="8"/>
      <c r="I556" s="9">
        <v>44741</v>
      </c>
      <c r="J556" s="8"/>
      <c r="K556" s="8"/>
      <c r="L556" s="8"/>
      <c r="M556" s="9">
        <v>44756</v>
      </c>
      <c r="N556" s="8"/>
      <c r="O556" s="8"/>
      <c r="P556" s="8"/>
      <c r="Q556" s="9">
        <v>44773</v>
      </c>
      <c r="R556" s="8"/>
      <c r="S556" s="8"/>
      <c r="T556" s="8"/>
      <c r="U556" s="9">
        <v>44788</v>
      </c>
      <c r="V556" s="8"/>
      <c r="W556" s="8"/>
      <c r="X556" s="8"/>
      <c r="Y556" s="9">
        <v>44804</v>
      </c>
      <c r="Z556" s="8"/>
      <c r="AA556" s="8"/>
      <c r="AB556" s="8"/>
      <c r="AC556" s="9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10"/>
    </row>
    <row r="557" spans="2:52" ht="15.75" thickBot="1" x14ac:dyDescent="0.3">
      <c r="E557" s="11">
        <v>237</v>
      </c>
      <c r="F557" s="12"/>
      <c r="G557" s="12"/>
      <c r="H557" s="12"/>
      <c r="I557" s="12">
        <v>234</v>
      </c>
      <c r="J557" s="12"/>
      <c r="K557" s="12"/>
      <c r="L557" s="12"/>
      <c r="M557" s="12">
        <v>234</v>
      </c>
      <c r="N557" s="12"/>
      <c r="O557" s="12"/>
      <c r="P557" s="12"/>
      <c r="Q557" s="12">
        <v>234</v>
      </c>
      <c r="R557" s="12"/>
      <c r="S557" s="12"/>
      <c r="T557" s="12"/>
      <c r="U557" s="12">
        <v>234</v>
      </c>
      <c r="V557" s="12"/>
      <c r="W557" s="12"/>
      <c r="X557" s="12"/>
      <c r="Y557" s="12">
        <v>234</v>
      </c>
      <c r="Z557" s="12"/>
      <c r="AA557" s="12"/>
      <c r="AB557" s="12"/>
      <c r="AC557" s="12">
        <v>247</v>
      </c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3"/>
    </row>
    <row r="559" spans="2:52" ht="15.75" thickBot="1" x14ac:dyDescent="0.3"/>
    <row r="560" spans="2:52" ht="15.75" thickBot="1" x14ac:dyDescent="0.3">
      <c r="C560" s="1">
        <v>69</v>
      </c>
      <c r="D560" s="14" t="s">
        <v>3</v>
      </c>
      <c r="E560" s="14"/>
      <c r="F560" s="14"/>
      <c r="G560" s="15" t="s">
        <v>4</v>
      </c>
      <c r="H560" s="15"/>
      <c r="I560" s="15"/>
      <c r="J560" s="15"/>
      <c r="K560" s="15"/>
      <c r="L560" s="15"/>
      <c r="M560" s="15" t="s">
        <v>5</v>
      </c>
      <c r="N560" s="15"/>
      <c r="AJ560" s="16" t="s">
        <v>6</v>
      </c>
      <c r="AK560" s="17"/>
      <c r="AL560" s="17"/>
      <c r="AM560" s="17"/>
      <c r="AO560" s="16" t="s">
        <v>7</v>
      </c>
      <c r="AP560" s="17"/>
      <c r="AQ560" s="17"/>
      <c r="AR560" s="17"/>
      <c r="AU560" s="39" t="s">
        <v>20</v>
      </c>
      <c r="AV560" s="40"/>
      <c r="AW560" s="40"/>
      <c r="AX560" s="40"/>
      <c r="AY560" s="40"/>
      <c r="AZ560" s="41"/>
    </row>
    <row r="561" spans="2:52" ht="15.75" thickBot="1" x14ac:dyDescent="0.3">
      <c r="D561" s="22">
        <v>2055</v>
      </c>
      <c r="E561" s="23"/>
      <c r="F561" s="24"/>
      <c r="G561" s="25">
        <v>44818</v>
      </c>
      <c r="H561" s="26"/>
      <c r="I561" s="26"/>
      <c r="J561" s="26"/>
      <c r="K561" s="26"/>
      <c r="L561" s="27"/>
      <c r="M561" s="28">
        <v>5</v>
      </c>
      <c r="N561" s="28"/>
      <c r="AJ561" s="29">
        <v>1010</v>
      </c>
      <c r="AK561" s="30"/>
      <c r="AL561" s="30"/>
      <c r="AM561" s="30"/>
      <c r="AO561" s="42">
        <f>AJ561-E565-I565-M565-Q565-U565-Y165-AC565-AG565-AK565-AO565</f>
        <v>0</v>
      </c>
      <c r="AP561" s="43"/>
      <c r="AQ561" s="43"/>
      <c r="AR561" s="43"/>
      <c r="AU561" s="44" t="s">
        <v>21</v>
      </c>
      <c r="AV561" s="45"/>
      <c r="AW561" s="45"/>
      <c r="AX561" s="45" t="s">
        <v>22</v>
      </c>
      <c r="AY561" s="45"/>
      <c r="AZ561" s="46"/>
    </row>
    <row r="562" spans="2:52" ht="15.75" thickBot="1" x14ac:dyDescent="0.3">
      <c r="AU562" s="47">
        <v>18</v>
      </c>
      <c r="AV562" s="48"/>
      <c r="AW562" s="48"/>
      <c r="AX562" s="48">
        <v>22</v>
      </c>
      <c r="AY562" s="48"/>
      <c r="AZ562" s="49"/>
    </row>
    <row r="563" spans="2:52" ht="15.75" thickBot="1" x14ac:dyDescent="0.3">
      <c r="E563" s="18" t="s">
        <v>8</v>
      </c>
      <c r="F563" s="8"/>
      <c r="G563" s="8"/>
      <c r="H563" s="8"/>
      <c r="I563" s="8" t="s">
        <v>9</v>
      </c>
      <c r="J563" s="8"/>
      <c r="K563" s="8"/>
      <c r="L563" s="8"/>
      <c r="M563" s="8" t="s">
        <v>10</v>
      </c>
      <c r="N563" s="8"/>
      <c r="O563" s="8"/>
      <c r="P563" s="8"/>
      <c r="Q563" s="8" t="s">
        <v>11</v>
      </c>
      <c r="R563" s="8"/>
      <c r="S563" s="8"/>
      <c r="T563" s="8"/>
      <c r="U563" s="8" t="s">
        <v>12</v>
      </c>
      <c r="V563" s="8"/>
      <c r="W563" s="8"/>
      <c r="X563" s="8"/>
      <c r="Y563" s="8" t="s">
        <v>13</v>
      </c>
      <c r="Z563" s="8"/>
      <c r="AA563" s="8"/>
      <c r="AB563" s="8"/>
      <c r="AC563" s="8" t="s">
        <v>14</v>
      </c>
      <c r="AD563" s="8"/>
      <c r="AE563" s="8"/>
      <c r="AF563" s="8"/>
      <c r="AG563" s="8" t="s">
        <v>15</v>
      </c>
      <c r="AH563" s="8"/>
      <c r="AI563" s="8"/>
      <c r="AJ563" s="8"/>
      <c r="AK563" s="8" t="s">
        <v>16</v>
      </c>
      <c r="AL563" s="8"/>
      <c r="AM563" s="8"/>
      <c r="AN563" s="8"/>
      <c r="AO563" s="8" t="s">
        <v>17</v>
      </c>
      <c r="AP563" s="8"/>
      <c r="AQ563" s="8"/>
      <c r="AR563" s="10"/>
    </row>
    <row r="564" spans="2:52" ht="15.75" thickBot="1" x14ac:dyDescent="0.3">
      <c r="B564" s="4" t="s">
        <v>19</v>
      </c>
      <c r="C564" s="5"/>
      <c r="D564" s="6"/>
      <c r="E564" s="7">
        <v>44834</v>
      </c>
      <c r="F564" s="8"/>
      <c r="G564" s="8"/>
      <c r="H564" s="8"/>
      <c r="I564" s="9">
        <v>44849</v>
      </c>
      <c r="J564" s="8"/>
      <c r="K564" s="8"/>
      <c r="L564" s="8"/>
      <c r="M564" s="9">
        <v>44864</v>
      </c>
      <c r="N564" s="8"/>
      <c r="O564" s="8"/>
      <c r="P564" s="8"/>
      <c r="Q564" s="9">
        <v>44880</v>
      </c>
      <c r="R564" s="8"/>
      <c r="S564" s="8"/>
      <c r="T564" s="8"/>
      <c r="U564" s="9">
        <v>44896</v>
      </c>
      <c r="V564" s="8"/>
      <c r="W564" s="8"/>
      <c r="X564" s="8"/>
      <c r="Y564" s="9"/>
      <c r="Z564" s="8"/>
      <c r="AA564" s="8"/>
      <c r="AB564" s="8"/>
      <c r="AC564" s="9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10"/>
    </row>
    <row r="565" spans="2:52" ht="15.75" thickBot="1" x14ac:dyDescent="0.3">
      <c r="E565" s="11">
        <v>202</v>
      </c>
      <c r="F565" s="12"/>
      <c r="G565" s="12"/>
      <c r="H565" s="12"/>
      <c r="I565" s="12">
        <v>202</v>
      </c>
      <c r="J565" s="12"/>
      <c r="K565" s="12"/>
      <c r="L565" s="12"/>
      <c r="M565" s="12">
        <v>202</v>
      </c>
      <c r="N565" s="12"/>
      <c r="O565" s="12"/>
      <c r="P565" s="12"/>
      <c r="Q565" s="12">
        <v>202</v>
      </c>
      <c r="R565" s="12"/>
      <c r="S565" s="12"/>
      <c r="T565" s="12"/>
      <c r="U565" s="12">
        <v>202</v>
      </c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3"/>
    </row>
    <row r="567" spans="2:52" ht="15.75" thickBot="1" x14ac:dyDescent="0.3"/>
    <row r="568" spans="2:52" ht="15.75" thickBot="1" x14ac:dyDescent="0.3">
      <c r="C568" s="1">
        <v>70</v>
      </c>
      <c r="D568" s="14" t="s">
        <v>3</v>
      </c>
      <c r="E568" s="14"/>
      <c r="F568" s="14"/>
      <c r="G568" s="15" t="s">
        <v>4</v>
      </c>
      <c r="H568" s="15"/>
      <c r="I568" s="15"/>
      <c r="J568" s="15"/>
      <c r="K568" s="15"/>
      <c r="L568" s="15"/>
      <c r="M568" s="15" t="s">
        <v>5</v>
      </c>
      <c r="N568" s="15"/>
      <c r="AJ568" s="16" t="s">
        <v>6</v>
      </c>
      <c r="AK568" s="17"/>
      <c r="AL568" s="17"/>
      <c r="AM568" s="17"/>
      <c r="AO568" s="16" t="s">
        <v>7</v>
      </c>
      <c r="AP568" s="17"/>
      <c r="AQ568" s="17"/>
      <c r="AR568" s="17"/>
      <c r="AU568" s="39" t="s">
        <v>20</v>
      </c>
      <c r="AV568" s="40"/>
      <c r="AW568" s="40"/>
      <c r="AX568" s="40"/>
      <c r="AY568" s="40"/>
      <c r="AZ568" s="41"/>
    </row>
    <row r="569" spans="2:52" ht="15.75" thickBot="1" x14ac:dyDescent="0.3">
      <c r="D569" s="22">
        <v>2167</v>
      </c>
      <c r="E569" s="23"/>
      <c r="F569" s="24"/>
      <c r="G569" s="25">
        <v>44850</v>
      </c>
      <c r="H569" s="26"/>
      <c r="I569" s="26"/>
      <c r="J569" s="26"/>
      <c r="K569" s="26"/>
      <c r="L569" s="27"/>
      <c r="M569" s="28">
        <v>4</v>
      </c>
      <c r="N569" s="28"/>
      <c r="AJ569" s="29">
        <v>780</v>
      </c>
      <c r="AK569" s="30"/>
      <c r="AL569" s="30"/>
      <c r="AM569" s="30"/>
      <c r="AO569" s="42">
        <f>AJ569-E573-I573-M573-Q573-U573-Y173-AC573-AG573-AK573-AO573</f>
        <v>0</v>
      </c>
      <c r="AP569" s="43"/>
      <c r="AQ569" s="43"/>
      <c r="AR569" s="43"/>
      <c r="AU569" s="44" t="s">
        <v>21</v>
      </c>
      <c r="AV569" s="45"/>
      <c r="AW569" s="45"/>
      <c r="AX569" s="45" t="s">
        <v>22</v>
      </c>
      <c r="AY569" s="45"/>
      <c r="AZ569" s="46"/>
    </row>
    <row r="570" spans="2:52" ht="15.75" thickBot="1" x14ac:dyDescent="0.3">
      <c r="AU570" s="47">
        <v>20</v>
      </c>
      <c r="AV570" s="48"/>
      <c r="AW570" s="48"/>
      <c r="AX570" s="48">
        <v>23</v>
      </c>
      <c r="AY570" s="48"/>
      <c r="AZ570" s="49"/>
    </row>
    <row r="571" spans="2:52" ht="15.75" thickBot="1" x14ac:dyDescent="0.3">
      <c r="E571" s="18" t="s">
        <v>8</v>
      </c>
      <c r="F571" s="8"/>
      <c r="G571" s="8"/>
      <c r="H571" s="8"/>
      <c r="I571" s="8" t="s">
        <v>9</v>
      </c>
      <c r="J571" s="8"/>
      <c r="K571" s="8"/>
      <c r="L571" s="8"/>
      <c r="M571" s="8" t="s">
        <v>10</v>
      </c>
      <c r="N571" s="8"/>
      <c r="O571" s="8"/>
      <c r="P571" s="8"/>
      <c r="Q571" s="8" t="s">
        <v>11</v>
      </c>
      <c r="R571" s="8"/>
      <c r="S571" s="8"/>
      <c r="T571" s="8"/>
      <c r="U571" s="8" t="s">
        <v>12</v>
      </c>
      <c r="V571" s="8"/>
      <c r="W571" s="8"/>
      <c r="X571" s="8"/>
      <c r="Y571" s="8" t="s">
        <v>13</v>
      </c>
      <c r="Z571" s="8"/>
      <c r="AA571" s="8"/>
      <c r="AB571" s="8"/>
      <c r="AC571" s="8" t="s">
        <v>14</v>
      </c>
      <c r="AD571" s="8"/>
      <c r="AE571" s="8"/>
      <c r="AF571" s="8"/>
      <c r="AG571" s="8" t="s">
        <v>15</v>
      </c>
      <c r="AH571" s="8"/>
      <c r="AI571" s="8"/>
      <c r="AJ571" s="8"/>
      <c r="AK571" s="8" t="s">
        <v>16</v>
      </c>
      <c r="AL571" s="8"/>
      <c r="AM571" s="8"/>
      <c r="AN571" s="8"/>
      <c r="AO571" s="8" t="s">
        <v>17</v>
      </c>
      <c r="AP571" s="8"/>
      <c r="AQ571" s="8"/>
      <c r="AR571" s="10"/>
    </row>
    <row r="572" spans="2:52" ht="15.75" thickBot="1" x14ac:dyDescent="0.3">
      <c r="B572" s="4" t="s">
        <v>19</v>
      </c>
      <c r="C572" s="5"/>
      <c r="D572" s="6"/>
      <c r="E572" s="7">
        <v>44864</v>
      </c>
      <c r="F572" s="8"/>
      <c r="G572" s="8"/>
      <c r="H572" s="8"/>
      <c r="I572" s="9">
        <v>44880</v>
      </c>
      <c r="J572" s="8"/>
      <c r="K572" s="8"/>
      <c r="L572" s="8"/>
      <c r="M572" s="9">
        <v>44896</v>
      </c>
      <c r="N572" s="8"/>
      <c r="O572" s="8"/>
      <c r="P572" s="8"/>
      <c r="Q572" s="9">
        <v>44909</v>
      </c>
      <c r="R572" s="8"/>
      <c r="S572" s="8"/>
      <c r="T572" s="8"/>
      <c r="U572" s="9"/>
      <c r="V572" s="8"/>
      <c r="W572" s="8"/>
      <c r="X572" s="8"/>
      <c r="Y572" s="9"/>
      <c r="Z572" s="8"/>
      <c r="AA572" s="8"/>
      <c r="AB572" s="8"/>
      <c r="AC572" s="9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10"/>
    </row>
    <row r="573" spans="2:52" ht="15.75" thickBot="1" x14ac:dyDescent="0.3">
      <c r="E573" s="11">
        <v>195</v>
      </c>
      <c r="F573" s="12"/>
      <c r="G573" s="12"/>
      <c r="H573" s="12"/>
      <c r="I573" s="12">
        <v>195</v>
      </c>
      <c r="J573" s="12"/>
      <c r="K573" s="12"/>
      <c r="L573" s="12"/>
      <c r="M573" s="12">
        <v>195</v>
      </c>
      <c r="N573" s="12"/>
      <c r="O573" s="12"/>
      <c r="P573" s="12"/>
      <c r="Q573" s="12">
        <v>195</v>
      </c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3"/>
    </row>
    <row r="575" spans="2:52" ht="15.75" thickBot="1" x14ac:dyDescent="0.3"/>
    <row r="576" spans="2:52" ht="15.75" thickBot="1" x14ac:dyDescent="0.3">
      <c r="C576" s="1">
        <v>71</v>
      </c>
      <c r="D576" s="14" t="s">
        <v>3</v>
      </c>
      <c r="E576" s="14"/>
      <c r="F576" s="14"/>
      <c r="G576" s="15" t="s">
        <v>4</v>
      </c>
      <c r="H576" s="15"/>
      <c r="I576" s="15"/>
      <c r="J576" s="15"/>
      <c r="K576" s="15"/>
      <c r="L576" s="15"/>
      <c r="M576" s="15" t="s">
        <v>5</v>
      </c>
      <c r="N576" s="15"/>
      <c r="AJ576" s="16" t="s">
        <v>6</v>
      </c>
      <c r="AK576" s="17"/>
      <c r="AL576" s="17"/>
      <c r="AM576" s="17"/>
      <c r="AO576" s="16" t="s">
        <v>7</v>
      </c>
      <c r="AP576" s="17"/>
      <c r="AQ576" s="17"/>
      <c r="AR576" s="17"/>
      <c r="AU576" s="39" t="s">
        <v>20</v>
      </c>
      <c r="AV576" s="40"/>
      <c r="AW576" s="40"/>
      <c r="AX576" s="40"/>
      <c r="AY576" s="40"/>
      <c r="AZ576" s="41"/>
    </row>
    <row r="577" spans="2:52" ht="15.75" thickBot="1" x14ac:dyDescent="0.3">
      <c r="D577" s="22">
        <v>2392</v>
      </c>
      <c r="E577" s="23"/>
      <c r="F577" s="24"/>
      <c r="G577" s="25">
        <v>44908</v>
      </c>
      <c r="H577" s="26"/>
      <c r="I577" s="26"/>
      <c r="J577" s="26"/>
      <c r="K577" s="26"/>
      <c r="L577" s="27"/>
      <c r="M577" s="28">
        <v>5</v>
      </c>
      <c r="N577" s="28"/>
      <c r="AJ577" s="29">
        <v>1399</v>
      </c>
      <c r="AK577" s="30"/>
      <c r="AL577" s="30"/>
      <c r="AM577" s="30"/>
      <c r="AO577" s="42">
        <f>AJ577-E581-I581-M581-Q581-U581-Y181-AC581-AG581-AK581-AO581</f>
        <v>-1</v>
      </c>
      <c r="AP577" s="43"/>
      <c r="AQ577" s="43"/>
      <c r="AR577" s="43"/>
      <c r="AU577" s="44" t="s">
        <v>21</v>
      </c>
      <c r="AV577" s="45"/>
      <c r="AW577" s="45"/>
      <c r="AX577" s="45" t="s">
        <v>22</v>
      </c>
      <c r="AY577" s="45"/>
      <c r="AZ577" s="46"/>
    </row>
    <row r="578" spans="2:52" ht="15.75" thickBot="1" x14ac:dyDescent="0.3">
      <c r="AU578" s="47">
        <v>24</v>
      </c>
      <c r="AV578" s="48"/>
      <c r="AW578" s="48"/>
      <c r="AX578" s="48">
        <v>4</v>
      </c>
      <c r="AY578" s="48"/>
      <c r="AZ578" s="49"/>
    </row>
    <row r="579" spans="2:52" ht="15.75" thickBot="1" x14ac:dyDescent="0.3">
      <c r="E579" s="18" t="s">
        <v>8</v>
      </c>
      <c r="F579" s="8"/>
      <c r="G579" s="8"/>
      <c r="H579" s="8"/>
      <c r="I579" s="8" t="s">
        <v>9</v>
      </c>
      <c r="J579" s="8"/>
      <c r="K579" s="8"/>
      <c r="L579" s="8"/>
      <c r="M579" s="8" t="s">
        <v>10</v>
      </c>
      <c r="N579" s="8"/>
      <c r="O579" s="8"/>
      <c r="P579" s="8"/>
      <c r="Q579" s="8" t="s">
        <v>11</v>
      </c>
      <c r="R579" s="8"/>
      <c r="S579" s="8"/>
      <c r="T579" s="8"/>
      <c r="U579" s="8" t="s">
        <v>12</v>
      </c>
      <c r="V579" s="8"/>
      <c r="W579" s="8"/>
      <c r="X579" s="8"/>
      <c r="Y579" s="8" t="s">
        <v>13</v>
      </c>
      <c r="Z579" s="8"/>
      <c r="AA579" s="8"/>
      <c r="AB579" s="8"/>
      <c r="AC579" s="8" t="s">
        <v>14</v>
      </c>
      <c r="AD579" s="8"/>
      <c r="AE579" s="8"/>
      <c r="AF579" s="8"/>
      <c r="AG579" s="8" t="s">
        <v>15</v>
      </c>
      <c r="AH579" s="8"/>
      <c r="AI579" s="8"/>
      <c r="AJ579" s="8"/>
      <c r="AK579" s="8" t="s">
        <v>16</v>
      </c>
      <c r="AL579" s="8"/>
      <c r="AM579" s="8"/>
      <c r="AN579" s="8"/>
      <c r="AO579" s="8" t="s">
        <v>17</v>
      </c>
      <c r="AP579" s="8"/>
      <c r="AQ579" s="8"/>
      <c r="AR579" s="10"/>
    </row>
    <row r="580" spans="2:52" ht="15.75" thickBot="1" x14ac:dyDescent="0.3">
      <c r="B580" s="4" t="s">
        <v>19</v>
      </c>
      <c r="C580" s="5"/>
      <c r="D580" s="6"/>
      <c r="E580" s="7">
        <v>44928</v>
      </c>
      <c r="F580" s="8"/>
      <c r="G580" s="8"/>
      <c r="H580" s="8"/>
      <c r="I580" s="9">
        <v>44942</v>
      </c>
      <c r="J580" s="8"/>
      <c r="K580" s="8"/>
      <c r="L580" s="8"/>
      <c r="M580" s="9">
        <v>44957</v>
      </c>
      <c r="N580" s="8"/>
      <c r="O580" s="8"/>
      <c r="P580" s="8"/>
      <c r="Q580" s="9">
        <v>44972</v>
      </c>
      <c r="R580" s="8"/>
      <c r="S580" s="8"/>
      <c r="T580" s="8"/>
      <c r="U580" s="9">
        <v>44988</v>
      </c>
      <c r="V580" s="8"/>
      <c r="W580" s="8"/>
      <c r="X580" s="8"/>
      <c r="Y580" s="9"/>
      <c r="Z580" s="8"/>
      <c r="AA580" s="8"/>
      <c r="AB580" s="8"/>
      <c r="AC580" s="9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10"/>
    </row>
    <row r="581" spans="2:52" ht="15.75" thickBot="1" x14ac:dyDescent="0.3">
      <c r="E581" s="11">
        <v>280</v>
      </c>
      <c r="F581" s="12"/>
      <c r="G581" s="12"/>
      <c r="H581" s="12"/>
      <c r="I581" s="12">
        <v>280</v>
      </c>
      <c r="J581" s="12"/>
      <c r="K581" s="12"/>
      <c r="L581" s="12"/>
      <c r="M581" s="12">
        <v>280</v>
      </c>
      <c r="N581" s="12"/>
      <c r="O581" s="12"/>
      <c r="P581" s="12"/>
      <c r="Q581" s="12">
        <v>280</v>
      </c>
      <c r="R581" s="12"/>
      <c r="S581" s="12"/>
      <c r="T581" s="12"/>
      <c r="U581" s="12">
        <v>280</v>
      </c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3"/>
    </row>
    <row r="583" spans="2:52" ht="15.75" thickBot="1" x14ac:dyDescent="0.3"/>
    <row r="584" spans="2:52" ht="15.75" thickBot="1" x14ac:dyDescent="0.3">
      <c r="C584" s="1">
        <v>72</v>
      </c>
      <c r="D584" s="14" t="s">
        <v>3</v>
      </c>
      <c r="E584" s="14"/>
      <c r="F584" s="14"/>
      <c r="G584" s="15" t="s">
        <v>4</v>
      </c>
      <c r="H584" s="15"/>
      <c r="I584" s="15"/>
      <c r="J584" s="15"/>
      <c r="K584" s="15"/>
      <c r="L584" s="15"/>
      <c r="M584" s="15" t="s">
        <v>5</v>
      </c>
      <c r="N584" s="15"/>
      <c r="AJ584" s="16" t="s">
        <v>6</v>
      </c>
      <c r="AK584" s="17"/>
      <c r="AL584" s="17"/>
      <c r="AM584" s="17"/>
      <c r="AO584" s="16" t="s">
        <v>7</v>
      </c>
      <c r="AP584" s="17"/>
      <c r="AQ584" s="17"/>
      <c r="AR584" s="17"/>
      <c r="AU584" s="39" t="s">
        <v>20</v>
      </c>
      <c r="AV584" s="40"/>
      <c r="AW584" s="40"/>
      <c r="AX584" s="40"/>
      <c r="AY584" s="40"/>
      <c r="AZ584" s="41"/>
    </row>
    <row r="585" spans="2:52" ht="15.75" thickBot="1" x14ac:dyDescent="0.3">
      <c r="D585" s="22">
        <v>2629</v>
      </c>
      <c r="E585" s="23"/>
      <c r="F585" s="24"/>
      <c r="G585" s="25">
        <v>44948</v>
      </c>
      <c r="H585" s="26"/>
      <c r="I585" s="26"/>
      <c r="J585" s="26"/>
      <c r="K585" s="26"/>
      <c r="L585" s="27"/>
      <c r="M585" s="28">
        <v>4</v>
      </c>
      <c r="N585" s="28"/>
      <c r="AJ585" s="29">
        <v>499</v>
      </c>
      <c r="AK585" s="30"/>
      <c r="AL585" s="30"/>
      <c r="AM585" s="30"/>
      <c r="AO585" s="42">
        <f>AJ585-E589-I589-M589-Q589-U589-Y189-AC589-AG589-AK589-AO589</f>
        <v>0</v>
      </c>
      <c r="AP585" s="43"/>
      <c r="AQ585" s="43"/>
      <c r="AR585" s="43"/>
      <c r="AU585" s="44" t="s">
        <v>21</v>
      </c>
      <c r="AV585" s="45"/>
      <c r="AW585" s="45"/>
      <c r="AX585" s="45" t="s">
        <v>22</v>
      </c>
      <c r="AY585" s="45"/>
      <c r="AZ585" s="46"/>
    </row>
    <row r="586" spans="2:52" ht="15.75" thickBot="1" x14ac:dyDescent="0.3">
      <c r="AU586" s="47">
        <v>2</v>
      </c>
      <c r="AV586" s="48"/>
      <c r="AW586" s="48"/>
      <c r="AX586" s="48">
        <v>5</v>
      </c>
      <c r="AY586" s="48"/>
      <c r="AZ586" s="49"/>
    </row>
    <row r="587" spans="2:52" ht="15.75" thickBot="1" x14ac:dyDescent="0.3">
      <c r="E587" s="18" t="s">
        <v>8</v>
      </c>
      <c r="F587" s="8"/>
      <c r="G587" s="8"/>
      <c r="H587" s="8"/>
      <c r="I587" s="8" t="s">
        <v>9</v>
      </c>
      <c r="J587" s="8"/>
      <c r="K587" s="8"/>
      <c r="L587" s="8"/>
      <c r="M587" s="8" t="s">
        <v>10</v>
      </c>
      <c r="N587" s="8"/>
      <c r="O587" s="8"/>
      <c r="P587" s="8"/>
      <c r="Q587" s="8" t="s">
        <v>11</v>
      </c>
      <c r="R587" s="8"/>
      <c r="S587" s="8"/>
      <c r="T587" s="8"/>
      <c r="U587" s="8" t="s">
        <v>12</v>
      </c>
      <c r="V587" s="8"/>
      <c r="W587" s="8"/>
      <c r="X587" s="8"/>
      <c r="Y587" s="8" t="s">
        <v>13</v>
      </c>
      <c r="Z587" s="8"/>
      <c r="AA587" s="8"/>
      <c r="AB587" s="8"/>
      <c r="AC587" s="8" t="s">
        <v>14</v>
      </c>
      <c r="AD587" s="8"/>
      <c r="AE587" s="8"/>
      <c r="AF587" s="8"/>
      <c r="AG587" s="8" t="s">
        <v>15</v>
      </c>
      <c r="AH587" s="8"/>
      <c r="AI587" s="8"/>
      <c r="AJ587" s="8"/>
      <c r="AK587" s="8" t="s">
        <v>16</v>
      </c>
      <c r="AL587" s="8"/>
      <c r="AM587" s="8"/>
      <c r="AN587" s="8"/>
      <c r="AO587" s="8" t="s">
        <v>17</v>
      </c>
      <c r="AP587" s="8"/>
      <c r="AQ587" s="8"/>
      <c r="AR587" s="10"/>
    </row>
    <row r="588" spans="2:52" ht="15.75" thickBot="1" x14ac:dyDescent="0.3">
      <c r="B588" s="4" t="s">
        <v>19</v>
      </c>
      <c r="C588" s="5"/>
      <c r="D588" s="6"/>
      <c r="E588" s="7">
        <v>44957</v>
      </c>
      <c r="F588" s="8"/>
      <c r="G588" s="8"/>
      <c r="H588" s="8"/>
      <c r="I588" s="9">
        <v>44972</v>
      </c>
      <c r="J588" s="8"/>
      <c r="K588" s="8"/>
      <c r="L588" s="8"/>
      <c r="M588" s="9">
        <v>44988</v>
      </c>
      <c r="N588" s="8"/>
      <c r="O588" s="8"/>
      <c r="P588" s="8"/>
      <c r="Q588" s="9">
        <v>45018</v>
      </c>
      <c r="R588" s="8"/>
      <c r="S588" s="8"/>
      <c r="T588" s="8"/>
      <c r="U588" s="9"/>
      <c r="V588" s="8"/>
      <c r="W588" s="8"/>
      <c r="X588" s="8"/>
      <c r="Y588" s="9"/>
      <c r="Z588" s="8"/>
      <c r="AA588" s="8"/>
      <c r="AB588" s="8"/>
      <c r="AC588" s="9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10"/>
    </row>
    <row r="589" spans="2:52" ht="15.75" thickBot="1" x14ac:dyDescent="0.3">
      <c r="E589" s="11">
        <v>125</v>
      </c>
      <c r="F589" s="12"/>
      <c r="G589" s="12"/>
      <c r="H589" s="12"/>
      <c r="I589" s="12">
        <v>125</v>
      </c>
      <c r="J589" s="12"/>
      <c r="K589" s="12"/>
      <c r="L589" s="12"/>
      <c r="M589" s="12">
        <v>125</v>
      </c>
      <c r="N589" s="12"/>
      <c r="O589" s="12"/>
      <c r="P589" s="12"/>
      <c r="Q589" s="12">
        <v>124</v>
      </c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3"/>
    </row>
    <row r="591" spans="2:52" ht="15.75" thickBot="1" x14ac:dyDescent="0.3"/>
    <row r="592" spans="2:52" ht="15.75" thickBot="1" x14ac:dyDescent="0.3">
      <c r="C592" s="1">
        <v>73</v>
      </c>
      <c r="D592" s="14" t="s">
        <v>3</v>
      </c>
      <c r="E592" s="14"/>
      <c r="F592" s="14"/>
      <c r="G592" s="15" t="s">
        <v>4</v>
      </c>
      <c r="H592" s="15"/>
      <c r="I592" s="15"/>
      <c r="J592" s="15"/>
      <c r="K592" s="15"/>
      <c r="L592" s="15"/>
      <c r="M592" s="15" t="s">
        <v>5</v>
      </c>
      <c r="N592" s="15"/>
      <c r="AJ592" s="16" t="s">
        <v>6</v>
      </c>
      <c r="AK592" s="17"/>
      <c r="AL592" s="17"/>
      <c r="AM592" s="17"/>
      <c r="AO592" s="16" t="s">
        <v>7</v>
      </c>
      <c r="AP592" s="17"/>
      <c r="AQ592" s="17"/>
      <c r="AR592" s="17"/>
      <c r="AU592" s="39" t="s">
        <v>20</v>
      </c>
      <c r="AV592" s="40"/>
      <c r="AW592" s="40"/>
      <c r="AX592" s="40"/>
      <c r="AY592" s="40"/>
      <c r="AZ592" s="41"/>
    </row>
    <row r="593" spans="2:52" ht="15.75" thickBot="1" x14ac:dyDescent="0.3">
      <c r="D593" s="22">
        <v>2875</v>
      </c>
      <c r="E593" s="23"/>
      <c r="F593" s="24"/>
      <c r="G593" s="25">
        <v>44999</v>
      </c>
      <c r="H593" s="26"/>
      <c r="I593" s="26"/>
      <c r="J593" s="26"/>
      <c r="K593" s="26"/>
      <c r="L593" s="27"/>
      <c r="M593" s="28">
        <v>6</v>
      </c>
      <c r="N593" s="28"/>
      <c r="AJ593" s="29">
        <v>1410</v>
      </c>
      <c r="AK593" s="30"/>
      <c r="AL593" s="30"/>
      <c r="AM593" s="30"/>
      <c r="AO593" s="42">
        <f>AJ593-E597-I597-M597-Q597-U597-Y597-AC597-AG597-AK597-AO597</f>
        <v>0</v>
      </c>
      <c r="AP593" s="43"/>
      <c r="AQ593" s="43"/>
      <c r="AR593" s="43"/>
      <c r="AU593" s="44" t="s">
        <v>21</v>
      </c>
      <c r="AV593" s="45"/>
      <c r="AW593" s="45"/>
      <c r="AX593" s="45" t="s">
        <v>22</v>
      </c>
      <c r="AY593" s="45"/>
      <c r="AZ593" s="46"/>
    </row>
    <row r="594" spans="2:52" ht="15.75" thickBot="1" x14ac:dyDescent="0.3">
      <c r="AU594" s="47">
        <v>6</v>
      </c>
      <c r="AV594" s="48"/>
      <c r="AW594" s="48"/>
      <c r="AX594" s="48">
        <v>11</v>
      </c>
      <c r="AY594" s="48"/>
      <c r="AZ594" s="49"/>
    </row>
    <row r="595" spans="2:52" ht="15.75" thickBot="1" x14ac:dyDescent="0.3">
      <c r="E595" s="18" t="s">
        <v>8</v>
      </c>
      <c r="F595" s="8"/>
      <c r="G595" s="8"/>
      <c r="H595" s="8"/>
      <c r="I595" s="8" t="s">
        <v>9</v>
      </c>
      <c r="J595" s="8"/>
      <c r="K595" s="8"/>
      <c r="L595" s="8"/>
      <c r="M595" s="8" t="s">
        <v>10</v>
      </c>
      <c r="N595" s="8"/>
      <c r="O595" s="8"/>
      <c r="P595" s="8"/>
      <c r="Q595" s="8" t="s">
        <v>11</v>
      </c>
      <c r="R595" s="8"/>
      <c r="S595" s="8"/>
      <c r="T595" s="8"/>
      <c r="U595" s="8" t="s">
        <v>12</v>
      </c>
      <c r="V595" s="8"/>
      <c r="W595" s="8"/>
      <c r="X595" s="8"/>
      <c r="Y595" s="8" t="s">
        <v>13</v>
      </c>
      <c r="Z595" s="8"/>
      <c r="AA595" s="8"/>
      <c r="AB595" s="8"/>
      <c r="AC595" s="8" t="s">
        <v>14</v>
      </c>
      <c r="AD595" s="8"/>
      <c r="AE595" s="8"/>
      <c r="AF595" s="8"/>
      <c r="AG595" s="8" t="s">
        <v>15</v>
      </c>
      <c r="AH595" s="8"/>
      <c r="AI595" s="8"/>
      <c r="AJ595" s="8"/>
      <c r="AK595" s="8" t="s">
        <v>16</v>
      </c>
      <c r="AL595" s="8"/>
      <c r="AM595" s="8"/>
      <c r="AN595" s="8"/>
      <c r="AO595" s="8" t="s">
        <v>17</v>
      </c>
      <c r="AP595" s="8"/>
      <c r="AQ595" s="8"/>
      <c r="AR595" s="10"/>
    </row>
    <row r="596" spans="2:52" ht="15.75" thickBot="1" x14ac:dyDescent="0.3">
      <c r="B596" s="4" t="s">
        <v>19</v>
      </c>
      <c r="C596" s="5"/>
      <c r="D596" s="6"/>
      <c r="E596" s="7">
        <v>45018</v>
      </c>
      <c r="F596" s="8"/>
      <c r="G596" s="8"/>
      <c r="H596" s="8"/>
      <c r="I596" s="9">
        <v>45032</v>
      </c>
      <c r="J596" s="8"/>
      <c r="K596" s="8"/>
      <c r="L596" s="8"/>
      <c r="M596" s="9">
        <v>45046</v>
      </c>
      <c r="N596" s="8"/>
      <c r="O596" s="8"/>
      <c r="P596" s="8"/>
      <c r="Q596" s="9">
        <v>45061</v>
      </c>
      <c r="R596" s="8"/>
      <c r="S596" s="8"/>
      <c r="T596" s="8"/>
      <c r="U596" s="9">
        <v>45076</v>
      </c>
      <c r="V596" s="8"/>
      <c r="W596" s="8"/>
      <c r="X596" s="8"/>
      <c r="Y596" s="9">
        <v>45093</v>
      </c>
      <c r="Z596" s="8"/>
      <c r="AA596" s="8"/>
      <c r="AB596" s="8"/>
      <c r="AC596" s="9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10"/>
    </row>
    <row r="597" spans="2:52" ht="15.75" thickBot="1" x14ac:dyDescent="0.3">
      <c r="E597" s="11">
        <v>235</v>
      </c>
      <c r="F597" s="12"/>
      <c r="G597" s="12"/>
      <c r="H597" s="12"/>
      <c r="I597" s="12">
        <v>235</v>
      </c>
      <c r="J597" s="12"/>
      <c r="K597" s="12"/>
      <c r="L597" s="12"/>
      <c r="M597" s="12">
        <v>235</v>
      </c>
      <c r="N597" s="12"/>
      <c r="O597" s="12"/>
      <c r="P597" s="12"/>
      <c r="Q597" s="12">
        <v>235</v>
      </c>
      <c r="R597" s="12"/>
      <c r="S597" s="12"/>
      <c r="T597" s="12"/>
      <c r="U597" s="12">
        <v>235</v>
      </c>
      <c r="V597" s="12"/>
      <c r="W597" s="12"/>
      <c r="X597" s="12"/>
      <c r="Y597" s="12">
        <v>235</v>
      </c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3"/>
    </row>
    <row r="599" spans="2:52" ht="15.75" thickBot="1" x14ac:dyDescent="0.3"/>
    <row r="600" spans="2:52" ht="15.75" thickBot="1" x14ac:dyDescent="0.3">
      <c r="C600" s="1">
        <v>74</v>
      </c>
      <c r="D600" s="14" t="s">
        <v>3</v>
      </c>
      <c r="E600" s="14"/>
      <c r="F600" s="14"/>
      <c r="G600" s="15" t="s">
        <v>4</v>
      </c>
      <c r="H600" s="15"/>
      <c r="I600" s="15"/>
      <c r="J600" s="15"/>
      <c r="K600" s="15"/>
      <c r="L600" s="15"/>
      <c r="M600" s="15" t="s">
        <v>5</v>
      </c>
      <c r="N600" s="15"/>
      <c r="AJ600" s="16" t="s">
        <v>6</v>
      </c>
      <c r="AK600" s="17"/>
      <c r="AL600" s="17"/>
      <c r="AM600" s="17"/>
      <c r="AO600" s="16" t="s">
        <v>7</v>
      </c>
      <c r="AP600" s="17"/>
      <c r="AQ600" s="17"/>
      <c r="AR600" s="17"/>
      <c r="AU600" s="39" t="s">
        <v>20</v>
      </c>
      <c r="AV600" s="40"/>
      <c r="AW600" s="40"/>
      <c r="AX600" s="40"/>
      <c r="AY600" s="40"/>
      <c r="AZ600" s="41"/>
    </row>
    <row r="601" spans="2:52" ht="15.75" thickBot="1" x14ac:dyDescent="0.3">
      <c r="D601" s="22">
        <v>3191</v>
      </c>
      <c r="E601" s="23"/>
      <c r="F601" s="24"/>
      <c r="G601" s="25">
        <v>45067</v>
      </c>
      <c r="H601" s="26"/>
      <c r="I601" s="26"/>
      <c r="J601" s="26"/>
      <c r="K601" s="26"/>
      <c r="L601" s="27"/>
      <c r="M601" s="28">
        <v>4</v>
      </c>
      <c r="N601" s="28"/>
      <c r="AJ601" s="29">
        <v>798</v>
      </c>
      <c r="AK601" s="30"/>
      <c r="AL601" s="30"/>
      <c r="AM601" s="30"/>
      <c r="AO601" s="42">
        <f>AJ601-E605-I605-M605-Q605-U605-Y605-AC605-AG605-AK605-AO605</f>
        <v>2</v>
      </c>
      <c r="AP601" s="43"/>
      <c r="AQ601" s="43"/>
      <c r="AR601" s="43"/>
      <c r="AU601" s="44" t="s">
        <v>21</v>
      </c>
      <c r="AV601" s="45"/>
      <c r="AW601" s="45"/>
      <c r="AX601" s="45" t="s">
        <v>22</v>
      </c>
      <c r="AY601" s="45"/>
      <c r="AZ601" s="46"/>
    </row>
    <row r="602" spans="2:52" ht="15.75" thickBot="1" x14ac:dyDescent="0.3">
      <c r="AU602" s="47">
        <v>10</v>
      </c>
      <c r="AV602" s="48"/>
      <c r="AW602" s="48"/>
      <c r="AX602" s="48">
        <v>13</v>
      </c>
      <c r="AY602" s="48"/>
      <c r="AZ602" s="49"/>
    </row>
    <row r="603" spans="2:52" ht="15.75" thickBot="1" x14ac:dyDescent="0.3">
      <c r="E603" s="18" t="s">
        <v>8</v>
      </c>
      <c r="F603" s="8"/>
      <c r="G603" s="8"/>
      <c r="H603" s="8"/>
      <c r="I603" s="8" t="s">
        <v>9</v>
      </c>
      <c r="J603" s="8"/>
      <c r="K603" s="8"/>
      <c r="L603" s="8"/>
      <c r="M603" s="8" t="s">
        <v>10</v>
      </c>
      <c r="N603" s="8"/>
      <c r="O603" s="8"/>
      <c r="P603" s="8"/>
      <c r="Q603" s="8" t="s">
        <v>11</v>
      </c>
      <c r="R603" s="8"/>
      <c r="S603" s="8"/>
      <c r="T603" s="8"/>
      <c r="U603" s="8" t="s">
        <v>12</v>
      </c>
      <c r="V603" s="8"/>
      <c r="W603" s="8"/>
      <c r="X603" s="8"/>
      <c r="Y603" s="8" t="s">
        <v>13</v>
      </c>
      <c r="Z603" s="8"/>
      <c r="AA603" s="8"/>
      <c r="AB603" s="8"/>
      <c r="AC603" s="8" t="s">
        <v>14</v>
      </c>
      <c r="AD603" s="8"/>
      <c r="AE603" s="8"/>
      <c r="AF603" s="8"/>
      <c r="AG603" s="8" t="s">
        <v>15</v>
      </c>
      <c r="AH603" s="8"/>
      <c r="AI603" s="8"/>
      <c r="AJ603" s="8"/>
      <c r="AK603" s="8" t="s">
        <v>16</v>
      </c>
      <c r="AL603" s="8"/>
      <c r="AM603" s="8"/>
      <c r="AN603" s="8"/>
      <c r="AO603" s="8" t="s">
        <v>17</v>
      </c>
      <c r="AP603" s="8"/>
      <c r="AQ603" s="8"/>
      <c r="AR603" s="10"/>
    </row>
    <row r="604" spans="2:52" ht="15.75" thickBot="1" x14ac:dyDescent="0.3">
      <c r="B604" s="4" t="s">
        <v>19</v>
      </c>
      <c r="C604" s="5"/>
      <c r="D604" s="6"/>
      <c r="E604" s="7">
        <v>45076</v>
      </c>
      <c r="F604" s="8"/>
      <c r="G604" s="8"/>
      <c r="H604" s="8"/>
      <c r="I604" s="9">
        <v>45093</v>
      </c>
      <c r="J604" s="8"/>
      <c r="K604" s="8"/>
      <c r="L604" s="8"/>
      <c r="M604" s="9">
        <v>45109</v>
      </c>
      <c r="N604" s="8"/>
      <c r="O604" s="8"/>
      <c r="P604" s="8"/>
      <c r="Q604" s="9">
        <v>45123</v>
      </c>
      <c r="R604" s="8"/>
      <c r="S604" s="8"/>
      <c r="T604" s="8"/>
      <c r="U604" s="9"/>
      <c r="V604" s="8"/>
      <c r="W604" s="8"/>
      <c r="X604" s="8"/>
      <c r="Y604" s="9"/>
      <c r="Z604" s="8"/>
      <c r="AA604" s="8"/>
      <c r="AB604" s="8"/>
      <c r="AC604" s="9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10"/>
    </row>
    <row r="605" spans="2:52" ht="15.75" thickBot="1" x14ac:dyDescent="0.3">
      <c r="E605" s="11">
        <v>199</v>
      </c>
      <c r="F605" s="12"/>
      <c r="G605" s="12"/>
      <c r="H605" s="12"/>
      <c r="I605" s="12">
        <v>199</v>
      </c>
      <c r="J605" s="12"/>
      <c r="K605" s="12"/>
      <c r="L605" s="12"/>
      <c r="M605" s="12">
        <v>199</v>
      </c>
      <c r="N605" s="12"/>
      <c r="O605" s="12"/>
      <c r="P605" s="12"/>
      <c r="Q605" s="12">
        <v>199</v>
      </c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3"/>
    </row>
    <row r="607" spans="2:52" ht="15.75" thickBot="1" x14ac:dyDescent="0.3"/>
    <row r="608" spans="2:52" ht="15.75" thickBot="1" x14ac:dyDescent="0.3">
      <c r="C608" s="1">
        <v>75</v>
      </c>
      <c r="D608" s="14" t="s">
        <v>3</v>
      </c>
      <c r="E608" s="14"/>
      <c r="F608" s="14"/>
      <c r="G608" s="15" t="s">
        <v>4</v>
      </c>
      <c r="H608" s="15"/>
      <c r="I608" s="15"/>
      <c r="J608" s="15"/>
      <c r="K608" s="15"/>
      <c r="L608" s="15"/>
      <c r="M608" s="15" t="s">
        <v>5</v>
      </c>
      <c r="N608" s="15"/>
      <c r="AJ608" s="16" t="s">
        <v>6</v>
      </c>
      <c r="AK608" s="17"/>
      <c r="AL608" s="17"/>
      <c r="AM608" s="17"/>
      <c r="AO608" s="16" t="s">
        <v>7</v>
      </c>
      <c r="AP608" s="17"/>
      <c r="AQ608" s="17"/>
      <c r="AR608" s="17"/>
      <c r="AU608" s="39" t="s">
        <v>20</v>
      </c>
      <c r="AV608" s="40"/>
      <c r="AW608" s="40"/>
      <c r="AX608" s="40"/>
      <c r="AY608" s="40"/>
      <c r="AZ608" s="41"/>
    </row>
    <row r="609" spans="2:52" ht="15.75" thickBot="1" x14ac:dyDescent="0.3">
      <c r="D609" s="22">
        <v>3359</v>
      </c>
      <c r="E609" s="23"/>
      <c r="F609" s="24"/>
      <c r="G609" s="25">
        <v>45104</v>
      </c>
      <c r="H609" s="26"/>
      <c r="I609" s="26"/>
      <c r="J609" s="26"/>
      <c r="K609" s="26"/>
      <c r="L609" s="27"/>
      <c r="M609" s="28">
        <v>6</v>
      </c>
      <c r="N609" s="28"/>
      <c r="AJ609" s="29">
        <v>1430</v>
      </c>
      <c r="AK609" s="30"/>
      <c r="AL609" s="30"/>
      <c r="AM609" s="30"/>
      <c r="AO609" s="42">
        <f>AJ609-E613-I613-M613-Q613-U613-Y613-AC613-AG613-AK613-AO613</f>
        <v>2</v>
      </c>
      <c r="AP609" s="43"/>
      <c r="AQ609" s="43"/>
      <c r="AR609" s="43"/>
      <c r="AU609" s="44" t="s">
        <v>21</v>
      </c>
      <c r="AV609" s="45"/>
      <c r="AW609" s="45"/>
      <c r="AX609" s="45" t="s">
        <v>22</v>
      </c>
      <c r="AY609" s="45"/>
      <c r="AZ609" s="46"/>
    </row>
    <row r="610" spans="2:52" ht="15.75" thickBot="1" x14ac:dyDescent="0.3">
      <c r="AU610" s="47">
        <v>11</v>
      </c>
      <c r="AV610" s="48"/>
      <c r="AW610" s="48"/>
      <c r="AX610" s="48">
        <v>16</v>
      </c>
      <c r="AY610" s="48"/>
      <c r="AZ610" s="49"/>
    </row>
    <row r="611" spans="2:52" ht="15.75" thickBot="1" x14ac:dyDescent="0.3">
      <c r="E611" s="18" t="s">
        <v>8</v>
      </c>
      <c r="F611" s="8"/>
      <c r="G611" s="8"/>
      <c r="H611" s="8"/>
      <c r="I611" s="8" t="s">
        <v>9</v>
      </c>
      <c r="J611" s="8"/>
      <c r="K611" s="8"/>
      <c r="L611" s="8"/>
      <c r="M611" s="8" t="s">
        <v>10</v>
      </c>
      <c r="N611" s="8"/>
      <c r="O611" s="8"/>
      <c r="P611" s="8"/>
      <c r="Q611" s="8" t="s">
        <v>11</v>
      </c>
      <c r="R611" s="8"/>
      <c r="S611" s="8"/>
      <c r="T611" s="8"/>
      <c r="U611" s="8" t="s">
        <v>12</v>
      </c>
      <c r="V611" s="8"/>
      <c r="W611" s="8"/>
      <c r="X611" s="8"/>
      <c r="Y611" s="8" t="s">
        <v>13</v>
      </c>
      <c r="Z611" s="8"/>
      <c r="AA611" s="8"/>
      <c r="AB611" s="8"/>
      <c r="AC611" s="8" t="s">
        <v>14</v>
      </c>
      <c r="AD611" s="8"/>
      <c r="AE611" s="8"/>
      <c r="AF611" s="8"/>
      <c r="AG611" s="8" t="s">
        <v>15</v>
      </c>
      <c r="AH611" s="8"/>
      <c r="AI611" s="8"/>
      <c r="AJ611" s="8"/>
      <c r="AK611" s="8" t="s">
        <v>16</v>
      </c>
      <c r="AL611" s="8"/>
      <c r="AM611" s="8"/>
      <c r="AN611" s="8"/>
      <c r="AO611" s="8" t="s">
        <v>17</v>
      </c>
      <c r="AP611" s="8"/>
      <c r="AQ611" s="8"/>
      <c r="AR611" s="10"/>
    </row>
    <row r="612" spans="2:52" ht="15.75" thickBot="1" x14ac:dyDescent="0.3">
      <c r="B612" s="4" t="s">
        <v>19</v>
      </c>
      <c r="C612" s="5"/>
      <c r="D612" s="6"/>
      <c r="E612" s="7">
        <v>45123</v>
      </c>
      <c r="F612" s="8"/>
      <c r="G612" s="8"/>
      <c r="H612" s="8"/>
      <c r="I612" s="9">
        <v>45137</v>
      </c>
      <c r="J612" s="8"/>
      <c r="K612" s="8"/>
      <c r="L612" s="8"/>
      <c r="M612" s="9">
        <v>45153</v>
      </c>
      <c r="N612" s="8"/>
      <c r="O612" s="8"/>
      <c r="P612" s="8"/>
      <c r="Q612" s="9">
        <v>45169</v>
      </c>
      <c r="R612" s="8"/>
      <c r="S612" s="8"/>
      <c r="T612" s="8"/>
      <c r="U612" s="9">
        <v>45184</v>
      </c>
      <c r="V612" s="8"/>
      <c r="W612" s="8"/>
      <c r="X612" s="8"/>
      <c r="Y612" s="9">
        <v>45200</v>
      </c>
      <c r="Z612" s="8"/>
      <c r="AA612" s="8"/>
      <c r="AB612" s="8"/>
      <c r="AC612" s="9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10"/>
    </row>
    <row r="613" spans="2:52" ht="15.75" thickBot="1" x14ac:dyDescent="0.3">
      <c r="E613" s="11">
        <v>238</v>
      </c>
      <c r="F613" s="12"/>
      <c r="G613" s="12"/>
      <c r="H613" s="12"/>
      <c r="I613" s="12">
        <v>238</v>
      </c>
      <c r="J613" s="12"/>
      <c r="K613" s="12"/>
      <c r="L613" s="12"/>
      <c r="M613" s="12">
        <v>238</v>
      </c>
      <c r="N613" s="12"/>
      <c r="O613" s="12"/>
      <c r="P613" s="12"/>
      <c r="Q613" s="12">
        <v>238</v>
      </c>
      <c r="R613" s="12"/>
      <c r="S613" s="12"/>
      <c r="T613" s="12"/>
      <c r="U613" s="12">
        <v>238</v>
      </c>
      <c r="V613" s="12"/>
      <c r="W613" s="12"/>
      <c r="X613" s="12"/>
      <c r="Y613" s="12">
        <v>238</v>
      </c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3"/>
    </row>
    <row r="615" spans="2:52" ht="15.75" thickBot="1" x14ac:dyDescent="0.3"/>
    <row r="616" spans="2:52" ht="15.75" thickBot="1" x14ac:dyDescent="0.3">
      <c r="C616" s="1">
        <v>76</v>
      </c>
      <c r="D616" s="14" t="s">
        <v>3</v>
      </c>
      <c r="E616" s="14"/>
      <c r="F616" s="14"/>
      <c r="G616" s="15" t="s">
        <v>4</v>
      </c>
      <c r="H616" s="15"/>
      <c r="I616" s="15"/>
      <c r="J616" s="15"/>
      <c r="K616" s="15"/>
      <c r="L616" s="15"/>
      <c r="M616" s="15" t="s">
        <v>5</v>
      </c>
      <c r="N616" s="15"/>
      <c r="AJ616" s="16" t="s">
        <v>6</v>
      </c>
      <c r="AK616" s="17"/>
      <c r="AL616" s="17"/>
      <c r="AM616" s="17"/>
      <c r="AO616" s="16" t="s">
        <v>7</v>
      </c>
      <c r="AP616" s="17"/>
      <c r="AQ616" s="17"/>
      <c r="AR616" s="17"/>
      <c r="AU616" s="39" t="s">
        <v>20</v>
      </c>
      <c r="AV616" s="40"/>
      <c r="AW616" s="40"/>
      <c r="AX616" s="40"/>
      <c r="AY616" s="40"/>
      <c r="AZ616" s="41"/>
    </row>
    <row r="617" spans="2:52" ht="15.75" thickBot="1" x14ac:dyDescent="0.3">
      <c r="D617" s="22">
        <v>3633</v>
      </c>
      <c r="E617" s="23"/>
      <c r="F617" s="24"/>
      <c r="G617" s="25">
        <v>45178</v>
      </c>
      <c r="H617" s="26"/>
      <c r="I617" s="26"/>
      <c r="J617" s="26"/>
      <c r="K617" s="26"/>
      <c r="L617" s="27"/>
      <c r="M617" s="28">
        <v>5</v>
      </c>
      <c r="N617" s="28"/>
      <c r="AJ617" s="29">
        <v>1100</v>
      </c>
      <c r="AK617" s="30"/>
      <c r="AL617" s="30"/>
      <c r="AM617" s="30"/>
      <c r="AO617" s="42">
        <f>AJ617-E621-I621-M621-Q621-U621-Y621-AC621-AG621-AK621-AO621</f>
        <v>0</v>
      </c>
      <c r="AP617" s="43"/>
      <c r="AQ617" s="43"/>
      <c r="AR617" s="43"/>
      <c r="AU617" s="44" t="s">
        <v>21</v>
      </c>
      <c r="AV617" s="45"/>
      <c r="AW617" s="45"/>
      <c r="AX617" s="45" t="s">
        <v>22</v>
      </c>
      <c r="AY617" s="45"/>
      <c r="AZ617" s="46"/>
    </row>
    <row r="618" spans="2:52" ht="15.75" thickBot="1" x14ac:dyDescent="0.3">
      <c r="AU618" s="47">
        <v>18</v>
      </c>
      <c r="AV618" s="48"/>
      <c r="AW618" s="48"/>
      <c r="AX618" s="48">
        <v>22</v>
      </c>
      <c r="AY618" s="48"/>
      <c r="AZ618" s="49"/>
    </row>
    <row r="619" spans="2:52" ht="15.75" thickBot="1" x14ac:dyDescent="0.3">
      <c r="E619" s="18" t="s">
        <v>8</v>
      </c>
      <c r="F619" s="8"/>
      <c r="G619" s="8"/>
      <c r="H619" s="8"/>
      <c r="I619" s="8" t="s">
        <v>9</v>
      </c>
      <c r="J619" s="8"/>
      <c r="K619" s="8"/>
      <c r="L619" s="8"/>
      <c r="M619" s="8" t="s">
        <v>10</v>
      </c>
      <c r="N619" s="8"/>
      <c r="O619" s="8"/>
      <c r="P619" s="8"/>
      <c r="Q619" s="8" t="s">
        <v>11</v>
      </c>
      <c r="R619" s="8"/>
      <c r="S619" s="8"/>
      <c r="T619" s="8"/>
      <c r="U619" s="8" t="s">
        <v>12</v>
      </c>
      <c r="V619" s="8"/>
      <c r="W619" s="8"/>
      <c r="X619" s="8"/>
      <c r="Y619" s="8" t="s">
        <v>13</v>
      </c>
      <c r="Z619" s="8"/>
      <c r="AA619" s="8"/>
      <c r="AB619" s="8"/>
      <c r="AC619" s="8" t="s">
        <v>14</v>
      </c>
      <c r="AD619" s="8"/>
      <c r="AE619" s="8"/>
      <c r="AF619" s="8"/>
      <c r="AG619" s="8" t="s">
        <v>15</v>
      </c>
      <c r="AH619" s="8"/>
      <c r="AI619" s="8"/>
      <c r="AJ619" s="8"/>
      <c r="AK619" s="8" t="s">
        <v>16</v>
      </c>
      <c r="AL619" s="8"/>
      <c r="AM619" s="8"/>
      <c r="AN619" s="8"/>
      <c r="AO619" s="8" t="s">
        <v>17</v>
      </c>
      <c r="AP619" s="8"/>
      <c r="AQ619" s="8"/>
      <c r="AR619" s="10"/>
    </row>
    <row r="620" spans="2:52" ht="15.75" thickBot="1" x14ac:dyDescent="0.3">
      <c r="B620" s="4" t="s">
        <v>19</v>
      </c>
      <c r="C620" s="5"/>
      <c r="D620" s="6"/>
      <c r="E620" s="7">
        <v>45200</v>
      </c>
      <c r="F620" s="8"/>
      <c r="G620" s="8"/>
      <c r="H620" s="8"/>
      <c r="I620" s="9">
        <v>45214</v>
      </c>
      <c r="J620" s="8"/>
      <c r="K620" s="8"/>
      <c r="L620" s="8"/>
      <c r="M620" s="9">
        <v>45232</v>
      </c>
      <c r="N620" s="8"/>
      <c r="O620" s="8"/>
      <c r="P620" s="8"/>
      <c r="Q620" s="9">
        <v>45245</v>
      </c>
      <c r="R620" s="8"/>
      <c r="S620" s="8"/>
      <c r="T620" s="8"/>
      <c r="U620" s="9">
        <v>45260</v>
      </c>
      <c r="V620" s="8"/>
      <c r="W620" s="8"/>
      <c r="X620" s="8"/>
      <c r="Y620" s="9"/>
      <c r="Z620" s="8"/>
      <c r="AA620" s="8"/>
      <c r="AB620" s="8"/>
      <c r="AC620" s="9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10"/>
    </row>
    <row r="621" spans="2:52" ht="15.75" thickBot="1" x14ac:dyDescent="0.3">
      <c r="E621" s="11">
        <v>220</v>
      </c>
      <c r="F621" s="12"/>
      <c r="G621" s="12"/>
      <c r="H621" s="12"/>
      <c r="I621" s="12">
        <v>220</v>
      </c>
      <c r="J621" s="12"/>
      <c r="K621" s="12"/>
      <c r="L621" s="12"/>
      <c r="M621" s="12">
        <v>220</v>
      </c>
      <c r="N621" s="12"/>
      <c r="O621" s="12"/>
      <c r="P621" s="12"/>
      <c r="Q621" s="12">
        <v>220</v>
      </c>
      <c r="R621" s="12"/>
      <c r="S621" s="12"/>
      <c r="T621" s="12"/>
      <c r="U621" s="12">
        <v>220</v>
      </c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3"/>
    </row>
    <row r="623" spans="2:52" ht="15.75" thickBot="1" x14ac:dyDescent="0.3"/>
    <row r="624" spans="2:52" ht="15.75" thickBot="1" x14ac:dyDescent="0.3">
      <c r="C624" s="1">
        <v>77</v>
      </c>
      <c r="D624" s="14" t="s">
        <v>3</v>
      </c>
      <c r="E624" s="14"/>
      <c r="F624" s="14"/>
      <c r="G624" s="15" t="s">
        <v>4</v>
      </c>
      <c r="H624" s="15"/>
      <c r="I624" s="15"/>
      <c r="J624" s="15"/>
      <c r="K624" s="15"/>
      <c r="L624" s="15"/>
      <c r="M624" s="15" t="s">
        <v>5</v>
      </c>
      <c r="N624" s="15"/>
      <c r="AJ624" s="16" t="s">
        <v>6</v>
      </c>
      <c r="AK624" s="17"/>
      <c r="AL624" s="17"/>
      <c r="AM624" s="17"/>
      <c r="AO624" s="16" t="s">
        <v>7</v>
      </c>
      <c r="AP624" s="17"/>
      <c r="AQ624" s="17"/>
      <c r="AR624" s="17"/>
      <c r="AU624" s="39" t="s">
        <v>20</v>
      </c>
      <c r="AV624" s="40"/>
      <c r="AW624" s="40"/>
      <c r="AX624" s="40"/>
      <c r="AY624" s="40"/>
      <c r="AZ624" s="41"/>
    </row>
    <row r="625" spans="2:52" ht="15.75" thickBot="1" x14ac:dyDescent="0.3">
      <c r="D625" s="22">
        <v>3975</v>
      </c>
      <c r="E625" s="23"/>
      <c r="F625" s="24"/>
      <c r="G625" s="25">
        <v>45256</v>
      </c>
      <c r="H625" s="26"/>
      <c r="I625" s="26"/>
      <c r="J625" s="26"/>
      <c r="K625" s="26"/>
      <c r="L625" s="27"/>
      <c r="M625" s="28">
        <v>6</v>
      </c>
      <c r="N625" s="28"/>
      <c r="AJ625" s="29">
        <v>1289</v>
      </c>
      <c r="AK625" s="30"/>
      <c r="AL625" s="30"/>
      <c r="AM625" s="30"/>
      <c r="AO625" s="42">
        <f>AJ625-E629-I629-M629-Q629-U629-Y629-AC629-AG629-AK629-AO629</f>
        <v>-1</v>
      </c>
      <c r="AP625" s="43"/>
      <c r="AQ625" s="43"/>
      <c r="AR625" s="43"/>
      <c r="AU625" s="44" t="s">
        <v>21</v>
      </c>
      <c r="AV625" s="45"/>
      <c r="AW625" s="45"/>
      <c r="AX625" s="45" t="s">
        <v>22</v>
      </c>
      <c r="AY625" s="45"/>
      <c r="AZ625" s="46"/>
    </row>
    <row r="626" spans="2:52" ht="15.75" thickBot="1" x14ac:dyDescent="0.3">
      <c r="AU626" s="47">
        <v>23</v>
      </c>
      <c r="AV626" s="48"/>
      <c r="AW626" s="48"/>
      <c r="AX626" s="48">
        <v>4</v>
      </c>
      <c r="AY626" s="48"/>
      <c r="AZ626" s="49"/>
    </row>
    <row r="627" spans="2:52" ht="15.75" thickBot="1" x14ac:dyDescent="0.3">
      <c r="E627" s="18" t="s">
        <v>8</v>
      </c>
      <c r="F627" s="8"/>
      <c r="G627" s="8"/>
      <c r="H627" s="8"/>
      <c r="I627" s="8" t="s">
        <v>9</v>
      </c>
      <c r="J627" s="8"/>
      <c r="K627" s="8"/>
      <c r="L627" s="8"/>
      <c r="M627" s="8" t="s">
        <v>10</v>
      </c>
      <c r="N627" s="8"/>
      <c r="O627" s="8"/>
      <c r="P627" s="8"/>
      <c r="Q627" s="8" t="s">
        <v>11</v>
      </c>
      <c r="R627" s="8"/>
      <c r="S627" s="8"/>
      <c r="T627" s="8"/>
      <c r="U627" s="8" t="s">
        <v>12</v>
      </c>
      <c r="V627" s="8"/>
      <c r="W627" s="8"/>
      <c r="X627" s="8"/>
      <c r="Y627" s="8" t="s">
        <v>13</v>
      </c>
      <c r="Z627" s="8"/>
      <c r="AA627" s="8"/>
      <c r="AB627" s="8"/>
      <c r="AC627" s="8" t="s">
        <v>14</v>
      </c>
      <c r="AD627" s="8"/>
      <c r="AE627" s="8"/>
      <c r="AF627" s="8"/>
      <c r="AG627" s="8" t="s">
        <v>15</v>
      </c>
      <c r="AH627" s="8"/>
      <c r="AI627" s="8"/>
      <c r="AJ627" s="8"/>
      <c r="AK627" s="8" t="s">
        <v>16</v>
      </c>
      <c r="AL627" s="8"/>
      <c r="AM627" s="8"/>
      <c r="AN627" s="8"/>
      <c r="AO627" s="8" t="s">
        <v>17</v>
      </c>
      <c r="AP627" s="8"/>
      <c r="AQ627" s="8"/>
      <c r="AR627" s="10"/>
    </row>
    <row r="628" spans="2:52" ht="15.75" thickBot="1" x14ac:dyDescent="0.3">
      <c r="B628" s="4" t="s">
        <v>19</v>
      </c>
      <c r="C628" s="5"/>
      <c r="D628" s="6"/>
      <c r="E628" s="7">
        <v>45277</v>
      </c>
      <c r="F628" s="8"/>
      <c r="G628" s="8"/>
      <c r="H628" s="8"/>
      <c r="I628" s="9">
        <v>45293</v>
      </c>
      <c r="J628" s="8"/>
      <c r="K628" s="8"/>
      <c r="L628" s="8"/>
      <c r="M628" s="9">
        <v>45307</v>
      </c>
      <c r="N628" s="8"/>
      <c r="O628" s="8"/>
      <c r="P628" s="8"/>
      <c r="Q628" s="9">
        <v>45323</v>
      </c>
      <c r="R628" s="8"/>
      <c r="S628" s="8"/>
      <c r="T628" s="8"/>
      <c r="U628" s="9">
        <v>45338</v>
      </c>
      <c r="V628" s="8"/>
      <c r="W628" s="8"/>
      <c r="X628" s="8"/>
      <c r="Y628" s="9">
        <v>45353</v>
      </c>
      <c r="Z628" s="8"/>
      <c r="AA628" s="8"/>
      <c r="AB628" s="8"/>
      <c r="AC628" s="9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10"/>
    </row>
    <row r="629" spans="2:52" ht="15.75" thickBot="1" x14ac:dyDescent="0.3">
      <c r="E629" s="11">
        <v>215</v>
      </c>
      <c r="F629" s="12"/>
      <c r="G629" s="12"/>
      <c r="H629" s="12"/>
      <c r="I629" s="12">
        <v>215</v>
      </c>
      <c r="J629" s="12"/>
      <c r="K629" s="12"/>
      <c r="L629" s="12"/>
      <c r="M629" s="12">
        <v>215</v>
      </c>
      <c r="N629" s="12"/>
      <c r="O629" s="12"/>
      <c r="P629" s="12"/>
      <c r="Q629" s="12">
        <v>215</v>
      </c>
      <c r="R629" s="12"/>
      <c r="S629" s="12"/>
      <c r="T629" s="12"/>
      <c r="U629" s="12">
        <v>215</v>
      </c>
      <c r="V629" s="12"/>
      <c r="W629" s="12"/>
      <c r="X629" s="12"/>
      <c r="Y629" s="12">
        <v>215</v>
      </c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3"/>
    </row>
    <row r="631" spans="2:52" ht="15.75" thickBot="1" x14ac:dyDescent="0.3"/>
    <row r="632" spans="2:52" ht="15.75" thickBot="1" x14ac:dyDescent="0.3">
      <c r="C632" s="1">
        <v>78</v>
      </c>
      <c r="D632" s="14" t="s">
        <v>3</v>
      </c>
      <c r="E632" s="14"/>
      <c r="F632" s="14"/>
      <c r="G632" s="15" t="s">
        <v>4</v>
      </c>
      <c r="H632" s="15"/>
      <c r="I632" s="15"/>
      <c r="J632" s="15"/>
      <c r="K632" s="15"/>
      <c r="L632" s="15"/>
      <c r="M632" s="15" t="s">
        <v>5</v>
      </c>
      <c r="N632" s="15"/>
      <c r="AJ632" s="16" t="s">
        <v>6</v>
      </c>
      <c r="AK632" s="17"/>
      <c r="AL632" s="17"/>
      <c r="AM632" s="17"/>
      <c r="AO632" s="16" t="s">
        <v>7</v>
      </c>
      <c r="AP632" s="17"/>
      <c r="AQ632" s="17"/>
      <c r="AR632" s="17"/>
      <c r="AU632" s="39" t="s">
        <v>20</v>
      </c>
      <c r="AV632" s="40"/>
      <c r="AW632" s="40"/>
      <c r="AX632" s="40"/>
      <c r="AY632" s="40"/>
      <c r="AZ632" s="41"/>
    </row>
    <row r="633" spans="2:52" ht="15.75" thickBot="1" x14ac:dyDescent="0.3">
      <c r="D633" s="22">
        <v>4147</v>
      </c>
      <c r="E633" s="23"/>
      <c r="F633" s="24"/>
      <c r="G633" s="25">
        <v>45303</v>
      </c>
      <c r="H633" s="26"/>
      <c r="I633" s="26"/>
      <c r="J633" s="26"/>
      <c r="K633" s="26"/>
      <c r="L633" s="27"/>
      <c r="M633" s="28">
        <v>5</v>
      </c>
      <c r="N633" s="28"/>
      <c r="AJ633" s="29">
        <v>1470</v>
      </c>
      <c r="AK633" s="30"/>
      <c r="AL633" s="30"/>
      <c r="AM633" s="30"/>
      <c r="AO633" s="42">
        <f>AJ633-E637-I637-M637-Q637-U637-Y637-AC637-AG637-AK637-AO637</f>
        <v>0</v>
      </c>
      <c r="AP633" s="43"/>
      <c r="AQ633" s="43"/>
      <c r="AR633" s="43"/>
      <c r="AU633" s="44" t="s">
        <v>21</v>
      </c>
      <c r="AV633" s="45"/>
      <c r="AW633" s="45"/>
      <c r="AX633" s="45" t="s">
        <v>22</v>
      </c>
      <c r="AY633" s="45"/>
      <c r="AZ633" s="46"/>
    </row>
    <row r="634" spans="2:52" ht="15.75" thickBot="1" x14ac:dyDescent="0.3">
      <c r="AU634" s="47">
        <v>2</v>
      </c>
      <c r="AV634" s="48"/>
      <c r="AW634" s="48"/>
      <c r="AX634" s="48">
        <v>6</v>
      </c>
      <c r="AY634" s="48"/>
      <c r="AZ634" s="49"/>
    </row>
    <row r="635" spans="2:52" ht="15.75" thickBot="1" x14ac:dyDescent="0.3">
      <c r="E635" s="18" t="s">
        <v>8</v>
      </c>
      <c r="F635" s="8"/>
      <c r="G635" s="8"/>
      <c r="H635" s="8"/>
      <c r="I635" s="8" t="s">
        <v>9</v>
      </c>
      <c r="J635" s="8"/>
      <c r="K635" s="8"/>
      <c r="L635" s="8"/>
      <c r="M635" s="8" t="s">
        <v>10</v>
      </c>
      <c r="N635" s="8"/>
      <c r="O635" s="8"/>
      <c r="P635" s="8"/>
      <c r="Q635" s="8" t="s">
        <v>11</v>
      </c>
      <c r="R635" s="8"/>
      <c r="S635" s="8"/>
      <c r="T635" s="8"/>
      <c r="U635" s="8" t="s">
        <v>12</v>
      </c>
      <c r="V635" s="8"/>
      <c r="W635" s="8"/>
      <c r="X635" s="8"/>
      <c r="Y635" s="8" t="s">
        <v>13</v>
      </c>
      <c r="Z635" s="8"/>
      <c r="AA635" s="8"/>
      <c r="AB635" s="8"/>
      <c r="AC635" s="8" t="s">
        <v>14</v>
      </c>
      <c r="AD635" s="8"/>
      <c r="AE635" s="8"/>
      <c r="AF635" s="8"/>
      <c r="AG635" s="8" t="s">
        <v>15</v>
      </c>
      <c r="AH635" s="8"/>
      <c r="AI635" s="8"/>
      <c r="AJ635" s="8"/>
      <c r="AK635" s="8" t="s">
        <v>16</v>
      </c>
      <c r="AL635" s="8"/>
      <c r="AM635" s="8"/>
      <c r="AN635" s="8"/>
      <c r="AO635" s="8" t="s">
        <v>17</v>
      </c>
      <c r="AP635" s="8"/>
      <c r="AQ635" s="8"/>
      <c r="AR635" s="10"/>
    </row>
    <row r="636" spans="2:52" ht="15.75" thickBot="1" x14ac:dyDescent="0.3">
      <c r="B636" s="4" t="s">
        <v>19</v>
      </c>
      <c r="C636" s="5"/>
      <c r="D636" s="6"/>
      <c r="E636" s="7">
        <v>45323</v>
      </c>
      <c r="F636" s="8"/>
      <c r="G636" s="8"/>
      <c r="H636" s="8"/>
      <c r="I636" s="9">
        <v>45338</v>
      </c>
      <c r="J636" s="8"/>
      <c r="K636" s="8"/>
      <c r="L636" s="8"/>
      <c r="M636" s="9">
        <v>45353</v>
      </c>
      <c r="N636" s="8"/>
      <c r="O636" s="8"/>
      <c r="P636" s="8"/>
      <c r="Q636" s="9">
        <v>45367</v>
      </c>
      <c r="R636" s="8"/>
      <c r="S636" s="8"/>
      <c r="T636" s="8"/>
      <c r="U636" s="9">
        <v>45382</v>
      </c>
      <c r="V636" s="8"/>
      <c r="W636" s="8"/>
      <c r="X636" s="8"/>
      <c r="Y636" s="9"/>
      <c r="Z636" s="8"/>
      <c r="AA636" s="8"/>
      <c r="AB636" s="8"/>
      <c r="AC636" s="9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10"/>
    </row>
    <row r="637" spans="2:52" ht="15.75" thickBot="1" x14ac:dyDescent="0.3">
      <c r="E637" s="11">
        <v>294</v>
      </c>
      <c r="F637" s="12"/>
      <c r="G637" s="12"/>
      <c r="H637" s="12"/>
      <c r="I637" s="12">
        <v>294</v>
      </c>
      <c r="J637" s="12"/>
      <c r="K637" s="12"/>
      <c r="L637" s="12"/>
      <c r="M637" s="12">
        <v>294</v>
      </c>
      <c r="N637" s="12"/>
      <c r="O637" s="12"/>
      <c r="P637" s="12"/>
      <c r="Q637" s="12">
        <v>294</v>
      </c>
      <c r="R637" s="12"/>
      <c r="S637" s="12"/>
      <c r="T637" s="12"/>
      <c r="U637" s="12">
        <v>294</v>
      </c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3"/>
    </row>
    <row r="639" spans="2:52" ht="15.75" thickBot="1" x14ac:dyDescent="0.3"/>
    <row r="640" spans="2:52" ht="15.75" thickBot="1" x14ac:dyDescent="0.3">
      <c r="C640" s="1">
        <v>79</v>
      </c>
      <c r="D640" s="14" t="s">
        <v>3</v>
      </c>
      <c r="E640" s="14"/>
      <c r="F640" s="14"/>
      <c r="G640" s="15" t="s">
        <v>4</v>
      </c>
      <c r="H640" s="15"/>
      <c r="I640" s="15"/>
      <c r="J640" s="15"/>
      <c r="K640" s="15"/>
      <c r="L640" s="15"/>
      <c r="M640" s="15" t="s">
        <v>5</v>
      </c>
      <c r="N640" s="15"/>
      <c r="AJ640" s="16" t="s">
        <v>6</v>
      </c>
      <c r="AK640" s="17"/>
      <c r="AL640" s="17"/>
      <c r="AM640" s="17"/>
      <c r="AO640" s="16" t="s">
        <v>7</v>
      </c>
      <c r="AP640" s="17"/>
      <c r="AQ640" s="17"/>
      <c r="AR640" s="17"/>
      <c r="AU640" s="39" t="s">
        <v>20</v>
      </c>
      <c r="AV640" s="40"/>
      <c r="AW640" s="40"/>
      <c r="AX640" s="40"/>
      <c r="AY640" s="40"/>
      <c r="AZ640" s="41"/>
    </row>
    <row r="641" spans="2:52" ht="15.75" thickBot="1" x14ac:dyDescent="0.3">
      <c r="D641" s="22">
        <v>4274</v>
      </c>
      <c r="E641" s="23"/>
      <c r="F641" s="24"/>
      <c r="G641" s="25">
        <v>45361</v>
      </c>
      <c r="H641" s="26"/>
      <c r="I641" s="26"/>
      <c r="J641" s="26"/>
      <c r="K641" s="26"/>
      <c r="L641" s="27"/>
      <c r="M641" s="28">
        <v>6</v>
      </c>
      <c r="N641" s="28"/>
      <c r="AJ641" s="29">
        <v>1535</v>
      </c>
      <c r="AK641" s="30"/>
      <c r="AL641" s="30"/>
      <c r="AM641" s="30"/>
      <c r="AO641" s="42">
        <f>AJ641-E645-I645-M645-Q645-U645-Y645-AC645-AG645-AK645-AO645</f>
        <v>-1</v>
      </c>
      <c r="AP641" s="43"/>
      <c r="AQ641" s="43"/>
      <c r="AR641" s="43"/>
      <c r="AU641" s="44" t="s">
        <v>21</v>
      </c>
      <c r="AV641" s="45"/>
      <c r="AW641" s="45"/>
      <c r="AX641" s="45" t="s">
        <v>22</v>
      </c>
      <c r="AY641" s="45"/>
      <c r="AZ641" s="46"/>
    </row>
    <row r="642" spans="2:52" ht="15.75" thickBot="1" x14ac:dyDescent="0.3">
      <c r="AU642" s="47">
        <v>6</v>
      </c>
      <c r="AV642" s="48"/>
      <c r="AW642" s="48"/>
      <c r="AX642" s="48">
        <v>11</v>
      </c>
      <c r="AY642" s="48"/>
      <c r="AZ642" s="49"/>
    </row>
    <row r="643" spans="2:52" ht="15.75" thickBot="1" x14ac:dyDescent="0.3">
      <c r="E643" s="18" t="s">
        <v>8</v>
      </c>
      <c r="F643" s="8"/>
      <c r="G643" s="8"/>
      <c r="H643" s="8"/>
      <c r="I643" s="8" t="s">
        <v>9</v>
      </c>
      <c r="J643" s="8"/>
      <c r="K643" s="8"/>
      <c r="L643" s="8"/>
      <c r="M643" s="8" t="s">
        <v>10</v>
      </c>
      <c r="N643" s="8"/>
      <c r="O643" s="8"/>
      <c r="P643" s="8"/>
      <c r="Q643" s="8" t="s">
        <v>11</v>
      </c>
      <c r="R643" s="8"/>
      <c r="S643" s="8"/>
      <c r="T643" s="8"/>
      <c r="U643" s="8" t="s">
        <v>12</v>
      </c>
      <c r="V643" s="8"/>
      <c r="W643" s="8"/>
      <c r="X643" s="8"/>
      <c r="Y643" s="8" t="s">
        <v>13</v>
      </c>
      <c r="Z643" s="8"/>
      <c r="AA643" s="8"/>
      <c r="AB643" s="8"/>
      <c r="AC643" s="8" t="s">
        <v>14</v>
      </c>
      <c r="AD643" s="8"/>
      <c r="AE643" s="8"/>
      <c r="AF643" s="8"/>
      <c r="AG643" s="8" t="s">
        <v>15</v>
      </c>
      <c r="AH643" s="8"/>
      <c r="AI643" s="8"/>
      <c r="AJ643" s="8"/>
      <c r="AK643" s="8" t="s">
        <v>16</v>
      </c>
      <c r="AL643" s="8"/>
      <c r="AM643" s="8"/>
      <c r="AN643" s="8"/>
      <c r="AO643" s="8" t="s">
        <v>17</v>
      </c>
      <c r="AP643" s="8"/>
      <c r="AQ643" s="8"/>
      <c r="AR643" s="10"/>
    </row>
    <row r="644" spans="2:52" ht="15.75" thickBot="1" x14ac:dyDescent="0.3">
      <c r="B644" s="4" t="s">
        <v>19</v>
      </c>
      <c r="C644" s="5"/>
      <c r="D644" s="6"/>
      <c r="E644" s="7">
        <v>45382</v>
      </c>
      <c r="F644" s="8"/>
      <c r="G644" s="8"/>
      <c r="H644" s="8"/>
      <c r="I644" s="9">
        <v>45398</v>
      </c>
      <c r="J644" s="8"/>
      <c r="K644" s="8"/>
      <c r="L644" s="8"/>
      <c r="M644" s="9">
        <v>45412</v>
      </c>
      <c r="N644" s="8"/>
      <c r="O644" s="8"/>
      <c r="P644" s="8"/>
      <c r="Q644" s="9">
        <v>45427</v>
      </c>
      <c r="R644" s="8"/>
      <c r="S644" s="8"/>
      <c r="T644" s="8"/>
      <c r="U644" s="9">
        <v>45443</v>
      </c>
      <c r="V644" s="8"/>
      <c r="W644" s="8"/>
      <c r="X644" s="8"/>
      <c r="Y644" s="9">
        <v>45459</v>
      </c>
      <c r="Z644" s="8"/>
      <c r="AA644" s="8"/>
      <c r="AB644" s="8"/>
      <c r="AC644" s="9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10"/>
    </row>
    <row r="645" spans="2:52" ht="15.75" thickBot="1" x14ac:dyDescent="0.3">
      <c r="E645" s="11">
        <v>256</v>
      </c>
      <c r="F645" s="12"/>
      <c r="G645" s="12"/>
      <c r="H645" s="12"/>
      <c r="I645" s="12">
        <v>256</v>
      </c>
      <c r="J645" s="12"/>
      <c r="K645" s="12"/>
      <c r="L645" s="12"/>
      <c r="M645" s="12">
        <v>256</v>
      </c>
      <c r="N645" s="12"/>
      <c r="O645" s="12"/>
      <c r="P645" s="12"/>
      <c r="Q645" s="12">
        <v>256</v>
      </c>
      <c r="R645" s="12"/>
      <c r="S645" s="12"/>
      <c r="T645" s="12"/>
      <c r="U645" s="12">
        <v>256</v>
      </c>
      <c r="V645" s="12"/>
      <c r="W645" s="12"/>
      <c r="X645" s="12"/>
      <c r="Y645" s="12">
        <v>256</v>
      </c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3"/>
    </row>
    <row r="647" spans="2:52" ht="15.75" thickBot="1" x14ac:dyDescent="0.3"/>
    <row r="648" spans="2:52" ht="15.75" thickBot="1" x14ac:dyDescent="0.3">
      <c r="C648" s="1">
        <v>80</v>
      </c>
      <c r="D648" s="14" t="s">
        <v>3</v>
      </c>
      <c r="E648" s="14"/>
      <c r="F648" s="14"/>
      <c r="G648" s="15" t="s">
        <v>4</v>
      </c>
      <c r="H648" s="15"/>
      <c r="I648" s="15"/>
      <c r="J648" s="15"/>
      <c r="K648" s="15"/>
      <c r="L648" s="15"/>
      <c r="M648" s="15" t="s">
        <v>5</v>
      </c>
      <c r="N648" s="15"/>
      <c r="AJ648" s="16" t="s">
        <v>6</v>
      </c>
      <c r="AK648" s="17"/>
      <c r="AL648" s="17"/>
      <c r="AM648" s="17"/>
      <c r="AO648" s="16" t="s">
        <v>7</v>
      </c>
      <c r="AP648" s="17"/>
      <c r="AQ648" s="17"/>
      <c r="AR648" s="17"/>
      <c r="AU648" s="39" t="s">
        <v>20</v>
      </c>
      <c r="AV648" s="40"/>
      <c r="AW648" s="40"/>
      <c r="AX648" s="40"/>
      <c r="AY648" s="40"/>
      <c r="AZ648" s="41"/>
    </row>
    <row r="649" spans="2:52" ht="15.75" thickBot="1" x14ac:dyDescent="0.3">
      <c r="D649" s="22">
        <v>4417</v>
      </c>
      <c r="E649" s="23"/>
      <c r="F649" s="24"/>
      <c r="G649" s="25">
        <v>45420</v>
      </c>
      <c r="H649" s="26"/>
      <c r="I649" s="26"/>
      <c r="J649" s="26"/>
      <c r="K649" s="26"/>
      <c r="L649" s="27"/>
      <c r="M649" s="28">
        <v>6</v>
      </c>
      <c r="N649" s="28"/>
      <c r="AJ649" s="29">
        <v>1820</v>
      </c>
      <c r="AK649" s="30"/>
      <c r="AL649" s="30"/>
      <c r="AM649" s="30"/>
      <c r="AO649" s="42">
        <f>AJ649-E653-I653-M653-Q653-U653-Y653-AC653-AG653-AK653-AO653</f>
        <v>2</v>
      </c>
      <c r="AP649" s="43"/>
      <c r="AQ649" s="43"/>
      <c r="AR649" s="43"/>
      <c r="AU649" s="44" t="s">
        <v>21</v>
      </c>
      <c r="AV649" s="45"/>
      <c r="AW649" s="45"/>
      <c r="AX649" s="45" t="s">
        <v>22</v>
      </c>
      <c r="AY649" s="45"/>
      <c r="AZ649" s="46"/>
    </row>
    <row r="650" spans="2:52" ht="15.75" thickBot="1" x14ac:dyDescent="0.3">
      <c r="AU650" s="47">
        <v>9</v>
      </c>
      <c r="AV650" s="48"/>
      <c r="AW650" s="48"/>
      <c r="AX650" s="48">
        <v>14</v>
      </c>
      <c r="AY650" s="48"/>
      <c r="AZ650" s="49"/>
    </row>
    <row r="651" spans="2:52" ht="15.75" thickBot="1" x14ac:dyDescent="0.3">
      <c r="E651" s="18" t="s">
        <v>8</v>
      </c>
      <c r="F651" s="8"/>
      <c r="G651" s="8"/>
      <c r="H651" s="8"/>
      <c r="I651" s="8" t="s">
        <v>9</v>
      </c>
      <c r="J651" s="8"/>
      <c r="K651" s="8"/>
      <c r="L651" s="8"/>
      <c r="M651" s="8" t="s">
        <v>10</v>
      </c>
      <c r="N651" s="8"/>
      <c r="O651" s="8"/>
      <c r="P651" s="8"/>
      <c r="Q651" s="8" t="s">
        <v>11</v>
      </c>
      <c r="R651" s="8"/>
      <c r="S651" s="8"/>
      <c r="T651" s="8"/>
      <c r="U651" s="8" t="s">
        <v>12</v>
      </c>
      <c r="V651" s="8"/>
      <c r="W651" s="8"/>
      <c r="X651" s="8"/>
      <c r="Y651" s="8" t="s">
        <v>13</v>
      </c>
      <c r="Z651" s="8"/>
      <c r="AA651" s="8"/>
      <c r="AB651" s="8"/>
      <c r="AC651" s="8" t="s">
        <v>14</v>
      </c>
      <c r="AD651" s="8"/>
      <c r="AE651" s="8"/>
      <c r="AF651" s="8"/>
      <c r="AG651" s="8" t="s">
        <v>15</v>
      </c>
      <c r="AH651" s="8"/>
      <c r="AI651" s="8"/>
      <c r="AJ651" s="8"/>
      <c r="AK651" s="8" t="s">
        <v>16</v>
      </c>
      <c r="AL651" s="8"/>
      <c r="AM651" s="8"/>
      <c r="AN651" s="8"/>
      <c r="AO651" s="8" t="s">
        <v>17</v>
      </c>
      <c r="AP651" s="8"/>
      <c r="AQ651" s="8"/>
      <c r="AR651" s="10"/>
    </row>
    <row r="652" spans="2:52" ht="15.75" thickBot="1" x14ac:dyDescent="0.3">
      <c r="B652" s="4" t="s">
        <v>19</v>
      </c>
      <c r="C652" s="5"/>
      <c r="D652" s="6"/>
      <c r="E652" s="7">
        <v>45427</v>
      </c>
      <c r="F652" s="8"/>
      <c r="G652" s="8"/>
      <c r="H652" s="8"/>
      <c r="I652" s="9">
        <v>45443</v>
      </c>
      <c r="J652" s="8"/>
      <c r="K652" s="8"/>
      <c r="L652" s="8"/>
      <c r="M652" s="9">
        <v>45459</v>
      </c>
      <c r="N652" s="8"/>
      <c r="O652" s="8"/>
      <c r="P652" s="8"/>
      <c r="Q652" s="9">
        <v>45473</v>
      </c>
      <c r="R652" s="8"/>
      <c r="S652" s="8"/>
      <c r="T652" s="8"/>
      <c r="U652" s="9">
        <v>45489</v>
      </c>
      <c r="V652" s="8"/>
      <c r="W652" s="8"/>
      <c r="X652" s="8"/>
      <c r="Y652" s="9">
        <v>45504</v>
      </c>
      <c r="Z652" s="8"/>
      <c r="AA652" s="8"/>
      <c r="AB652" s="8"/>
      <c r="AC652" s="9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10"/>
    </row>
    <row r="653" spans="2:52" ht="15.75" thickBot="1" x14ac:dyDescent="0.3">
      <c r="E653" s="11">
        <v>303</v>
      </c>
      <c r="F653" s="12"/>
      <c r="G653" s="12"/>
      <c r="H653" s="12"/>
      <c r="I653" s="12">
        <v>303</v>
      </c>
      <c r="J653" s="12"/>
      <c r="K653" s="12"/>
      <c r="L653" s="12"/>
      <c r="M653" s="12">
        <v>303</v>
      </c>
      <c r="N653" s="12"/>
      <c r="O653" s="12"/>
      <c r="P653" s="12"/>
      <c r="Q653" s="12">
        <v>303</v>
      </c>
      <c r="R653" s="12"/>
      <c r="S653" s="12"/>
      <c r="T653" s="12"/>
      <c r="U653" s="12">
        <v>303</v>
      </c>
      <c r="V653" s="12"/>
      <c r="W653" s="12"/>
      <c r="X653" s="12"/>
      <c r="Y653" s="12">
        <v>303</v>
      </c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3"/>
    </row>
    <row r="655" spans="2:52" ht="15.75" thickBot="1" x14ac:dyDescent="0.3"/>
    <row r="656" spans="2:52" ht="15.75" thickBot="1" x14ac:dyDescent="0.3">
      <c r="C656" s="1">
        <v>81</v>
      </c>
      <c r="D656" s="14" t="s">
        <v>3</v>
      </c>
      <c r="E656" s="14"/>
      <c r="F656" s="14"/>
      <c r="G656" s="15" t="s">
        <v>4</v>
      </c>
      <c r="H656" s="15"/>
      <c r="I656" s="15"/>
      <c r="J656" s="15"/>
      <c r="K656" s="15"/>
      <c r="L656" s="15"/>
      <c r="M656" s="15" t="s">
        <v>5</v>
      </c>
      <c r="N656" s="15"/>
      <c r="AJ656" s="16" t="s">
        <v>6</v>
      </c>
      <c r="AK656" s="17"/>
      <c r="AL656" s="17"/>
      <c r="AM656" s="17"/>
      <c r="AO656" s="16" t="s">
        <v>7</v>
      </c>
      <c r="AP656" s="17"/>
      <c r="AQ656" s="17"/>
      <c r="AR656" s="17"/>
      <c r="AU656" s="39" t="s">
        <v>20</v>
      </c>
      <c r="AV656" s="40"/>
      <c r="AW656" s="40"/>
      <c r="AX656" s="40"/>
      <c r="AY656" s="40"/>
      <c r="AZ656" s="41"/>
    </row>
    <row r="657" spans="2:52" ht="15.75" thickBot="1" x14ac:dyDescent="0.3">
      <c r="D657" s="22">
        <v>4527</v>
      </c>
      <c r="E657" s="23"/>
      <c r="F657" s="24"/>
      <c r="G657" s="25">
        <v>45468</v>
      </c>
      <c r="H657" s="26"/>
      <c r="I657" s="26"/>
      <c r="J657" s="26"/>
      <c r="K657" s="26"/>
      <c r="L657" s="27"/>
      <c r="M657" s="28">
        <v>6</v>
      </c>
      <c r="N657" s="28"/>
      <c r="AJ657" s="29">
        <v>1360</v>
      </c>
      <c r="AK657" s="30"/>
      <c r="AL657" s="30"/>
      <c r="AM657" s="30"/>
      <c r="AO657" s="42">
        <f>AJ657-E661-I661-M661-Q661-U661-Y661-AC661-AG661-AK661-AO661</f>
        <v>-2</v>
      </c>
      <c r="AP657" s="43"/>
      <c r="AQ657" s="43"/>
      <c r="AR657" s="43"/>
      <c r="AU657" s="44" t="s">
        <v>21</v>
      </c>
      <c r="AV657" s="45"/>
      <c r="AW657" s="45"/>
      <c r="AX657" s="45" t="s">
        <v>22</v>
      </c>
      <c r="AY657" s="45"/>
      <c r="AZ657" s="46"/>
    </row>
    <row r="658" spans="2:52" ht="15.75" thickBot="1" x14ac:dyDescent="0.3">
      <c r="AU658" s="47">
        <v>13</v>
      </c>
      <c r="AV658" s="48"/>
      <c r="AW658" s="48"/>
      <c r="AX658" s="48">
        <v>16</v>
      </c>
      <c r="AY658" s="48"/>
      <c r="AZ658" s="49"/>
    </row>
    <row r="659" spans="2:52" ht="15.75" thickBot="1" x14ac:dyDescent="0.3">
      <c r="E659" s="18" t="s">
        <v>8</v>
      </c>
      <c r="F659" s="8"/>
      <c r="G659" s="8"/>
      <c r="H659" s="8"/>
      <c r="I659" s="8" t="s">
        <v>9</v>
      </c>
      <c r="J659" s="8"/>
      <c r="K659" s="8"/>
      <c r="L659" s="8"/>
      <c r="M659" s="8" t="s">
        <v>10</v>
      </c>
      <c r="N659" s="8"/>
      <c r="O659" s="8"/>
      <c r="P659" s="8"/>
      <c r="Q659" s="8" t="s">
        <v>11</v>
      </c>
      <c r="R659" s="8"/>
      <c r="S659" s="8"/>
      <c r="T659" s="8"/>
      <c r="U659" s="8" t="s">
        <v>12</v>
      </c>
      <c r="V659" s="8"/>
      <c r="W659" s="8"/>
      <c r="X659" s="8"/>
      <c r="Y659" s="8" t="s">
        <v>13</v>
      </c>
      <c r="Z659" s="8"/>
      <c r="AA659" s="8"/>
      <c r="AB659" s="8"/>
      <c r="AC659" s="8" t="s">
        <v>14</v>
      </c>
      <c r="AD659" s="8"/>
      <c r="AE659" s="8"/>
      <c r="AF659" s="8"/>
      <c r="AG659" s="8" t="s">
        <v>15</v>
      </c>
      <c r="AH659" s="8"/>
      <c r="AI659" s="8"/>
      <c r="AJ659" s="8"/>
      <c r="AK659" s="8" t="s">
        <v>16</v>
      </c>
      <c r="AL659" s="8"/>
      <c r="AM659" s="8"/>
      <c r="AN659" s="8"/>
      <c r="AO659" s="8" t="s">
        <v>17</v>
      </c>
      <c r="AP659" s="8"/>
      <c r="AQ659" s="8"/>
      <c r="AR659" s="10"/>
    </row>
    <row r="660" spans="2:52" ht="15.75" thickBot="1" x14ac:dyDescent="0.3">
      <c r="B660" s="4" t="s">
        <v>19</v>
      </c>
      <c r="C660" s="5"/>
      <c r="D660" s="6"/>
      <c r="E660" s="7">
        <v>45489</v>
      </c>
      <c r="F660" s="8"/>
      <c r="G660" s="8"/>
      <c r="H660" s="8"/>
      <c r="I660" s="9">
        <v>45504</v>
      </c>
      <c r="J660" s="8"/>
      <c r="K660" s="8"/>
      <c r="L660" s="8"/>
      <c r="M660" s="9">
        <v>45519</v>
      </c>
      <c r="N660" s="8"/>
      <c r="O660" s="8"/>
      <c r="P660" s="8"/>
      <c r="Q660" s="9">
        <v>45536</v>
      </c>
      <c r="R660" s="8"/>
      <c r="S660" s="8"/>
      <c r="T660" s="8"/>
      <c r="U660" s="9">
        <v>45550</v>
      </c>
      <c r="V660" s="8"/>
      <c r="W660" s="8"/>
      <c r="X660" s="8"/>
      <c r="Y660" s="9">
        <v>45567</v>
      </c>
      <c r="Z660" s="8"/>
      <c r="AA660" s="8"/>
      <c r="AB660" s="8"/>
      <c r="AC660" s="9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10"/>
    </row>
    <row r="661" spans="2:52" ht="15.75" thickBot="1" x14ac:dyDescent="0.3">
      <c r="E661" s="11">
        <v>227</v>
      </c>
      <c r="F661" s="12"/>
      <c r="G661" s="12"/>
      <c r="H661" s="12"/>
      <c r="I661" s="12">
        <v>227</v>
      </c>
      <c r="J661" s="12"/>
      <c r="K661" s="12"/>
      <c r="L661" s="12"/>
      <c r="M661" s="12">
        <v>227</v>
      </c>
      <c r="N661" s="12"/>
      <c r="O661" s="12"/>
      <c r="P661" s="12"/>
      <c r="Q661" s="12">
        <v>227</v>
      </c>
      <c r="R661" s="12"/>
      <c r="S661" s="12"/>
      <c r="T661" s="12"/>
      <c r="U661" s="12">
        <v>227</v>
      </c>
      <c r="V661" s="12"/>
      <c r="W661" s="12"/>
      <c r="X661" s="12"/>
      <c r="Y661" s="12">
        <v>227</v>
      </c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3"/>
    </row>
    <row r="663" spans="2:52" ht="15.75" thickBot="1" x14ac:dyDescent="0.3"/>
    <row r="664" spans="2:52" ht="15.75" thickBot="1" x14ac:dyDescent="0.3">
      <c r="C664" s="1">
        <v>82</v>
      </c>
      <c r="D664" s="14" t="s">
        <v>3</v>
      </c>
      <c r="E664" s="14"/>
      <c r="F664" s="14"/>
      <c r="G664" s="15" t="s">
        <v>4</v>
      </c>
      <c r="H664" s="15"/>
      <c r="I664" s="15"/>
      <c r="J664" s="15"/>
      <c r="K664" s="15"/>
      <c r="L664" s="15"/>
      <c r="M664" s="15" t="s">
        <v>5</v>
      </c>
      <c r="N664" s="15"/>
      <c r="AJ664" s="16" t="s">
        <v>6</v>
      </c>
      <c r="AK664" s="17"/>
      <c r="AL664" s="17"/>
      <c r="AM664" s="17"/>
      <c r="AO664" s="16" t="s">
        <v>7</v>
      </c>
      <c r="AP664" s="17"/>
      <c r="AQ664" s="17"/>
      <c r="AR664" s="17"/>
      <c r="AU664" s="39" t="s">
        <v>20</v>
      </c>
      <c r="AV664" s="40"/>
      <c r="AW664" s="40"/>
      <c r="AX664" s="40"/>
      <c r="AY664" s="40"/>
      <c r="AZ664" s="41"/>
    </row>
    <row r="665" spans="2:52" ht="15.75" thickBot="1" x14ac:dyDescent="0.3">
      <c r="D665" s="22">
        <v>4622</v>
      </c>
      <c r="E665" s="23"/>
      <c r="F665" s="24"/>
      <c r="G665" s="25">
        <v>45504</v>
      </c>
      <c r="H665" s="26"/>
      <c r="I665" s="26"/>
      <c r="J665" s="26"/>
      <c r="K665" s="26"/>
      <c r="L665" s="27"/>
      <c r="M665" s="28">
        <v>6</v>
      </c>
      <c r="N665" s="28"/>
      <c r="AJ665" s="29">
        <v>1660</v>
      </c>
      <c r="AK665" s="30"/>
      <c r="AL665" s="30"/>
      <c r="AM665" s="30"/>
      <c r="AO665" s="42">
        <f>AJ665-E669-I669-M669-Q669-U669-Y669-AC669-AG669-AK669-AO669</f>
        <v>-2</v>
      </c>
      <c r="AP665" s="43"/>
      <c r="AQ665" s="43"/>
      <c r="AR665" s="43"/>
      <c r="AU665" s="44" t="s">
        <v>21</v>
      </c>
      <c r="AV665" s="45"/>
      <c r="AW665" s="45"/>
      <c r="AX665" s="45" t="s">
        <v>22</v>
      </c>
      <c r="AY665" s="45"/>
      <c r="AZ665" s="46"/>
    </row>
    <row r="666" spans="2:52" ht="15.75" thickBot="1" x14ac:dyDescent="0.3">
      <c r="AU666" s="47">
        <v>15</v>
      </c>
      <c r="AV666" s="48"/>
      <c r="AW666" s="48"/>
      <c r="AX666" s="48">
        <v>20</v>
      </c>
      <c r="AY666" s="48"/>
      <c r="AZ666" s="49"/>
    </row>
    <row r="667" spans="2:52" ht="15.75" thickBot="1" x14ac:dyDescent="0.3">
      <c r="E667" s="18" t="s">
        <v>8</v>
      </c>
      <c r="F667" s="8"/>
      <c r="G667" s="8"/>
      <c r="H667" s="8"/>
      <c r="I667" s="8" t="s">
        <v>9</v>
      </c>
      <c r="J667" s="8"/>
      <c r="K667" s="8"/>
      <c r="L667" s="8"/>
      <c r="M667" s="8" t="s">
        <v>10</v>
      </c>
      <c r="N667" s="8"/>
      <c r="O667" s="8"/>
      <c r="P667" s="8"/>
      <c r="Q667" s="8" t="s">
        <v>11</v>
      </c>
      <c r="R667" s="8"/>
      <c r="S667" s="8"/>
      <c r="T667" s="8"/>
      <c r="U667" s="8" t="s">
        <v>12</v>
      </c>
      <c r="V667" s="8"/>
      <c r="W667" s="8"/>
      <c r="X667" s="8"/>
      <c r="Y667" s="8" t="s">
        <v>13</v>
      </c>
      <c r="Z667" s="8"/>
      <c r="AA667" s="8"/>
      <c r="AB667" s="8"/>
      <c r="AC667" s="8" t="s">
        <v>14</v>
      </c>
      <c r="AD667" s="8"/>
      <c r="AE667" s="8"/>
      <c r="AF667" s="8"/>
      <c r="AG667" s="8" t="s">
        <v>15</v>
      </c>
      <c r="AH667" s="8"/>
      <c r="AI667" s="8"/>
      <c r="AJ667" s="8"/>
      <c r="AK667" s="8" t="s">
        <v>16</v>
      </c>
      <c r="AL667" s="8"/>
      <c r="AM667" s="8"/>
      <c r="AN667" s="8"/>
      <c r="AO667" s="8" t="s">
        <v>17</v>
      </c>
      <c r="AP667" s="8"/>
      <c r="AQ667" s="8"/>
      <c r="AR667" s="10"/>
    </row>
    <row r="668" spans="2:52" ht="15.75" thickBot="1" x14ac:dyDescent="0.3">
      <c r="B668" s="4" t="s">
        <v>19</v>
      </c>
      <c r="C668" s="5"/>
      <c r="D668" s="6"/>
      <c r="E668" s="7">
        <v>45519</v>
      </c>
      <c r="F668" s="8"/>
      <c r="G668" s="8"/>
      <c r="H668" s="8"/>
      <c r="I668" s="9">
        <v>45536</v>
      </c>
      <c r="J668" s="8"/>
      <c r="K668" s="8"/>
      <c r="L668" s="8"/>
      <c r="M668" s="9">
        <v>45550</v>
      </c>
      <c r="N668" s="8"/>
      <c r="O668" s="8"/>
      <c r="P668" s="8"/>
      <c r="Q668" s="9">
        <v>45567</v>
      </c>
      <c r="R668" s="8"/>
      <c r="S668" s="8"/>
      <c r="T668" s="8"/>
      <c r="U668" s="9">
        <v>45581</v>
      </c>
      <c r="V668" s="8"/>
      <c r="W668" s="8"/>
      <c r="X668" s="8"/>
      <c r="Y668" s="9">
        <v>45596</v>
      </c>
      <c r="Z668" s="8"/>
      <c r="AA668" s="8"/>
      <c r="AB668" s="8"/>
      <c r="AC668" s="9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10"/>
    </row>
    <row r="669" spans="2:52" ht="15.75" thickBot="1" x14ac:dyDescent="0.3">
      <c r="E669" s="11">
        <v>277</v>
      </c>
      <c r="F669" s="12"/>
      <c r="G669" s="12"/>
      <c r="H669" s="12"/>
      <c r="I669" s="12">
        <v>277</v>
      </c>
      <c r="J669" s="12"/>
      <c r="K669" s="12"/>
      <c r="L669" s="12"/>
      <c r="M669" s="12">
        <v>277</v>
      </c>
      <c r="N669" s="12"/>
      <c r="O669" s="12"/>
      <c r="P669" s="12"/>
      <c r="Q669" s="12">
        <v>277</v>
      </c>
      <c r="R669" s="12"/>
      <c r="S669" s="12"/>
      <c r="T669" s="12"/>
      <c r="U669" s="12">
        <v>277</v>
      </c>
      <c r="V669" s="12"/>
      <c r="W669" s="12"/>
      <c r="X669" s="12"/>
      <c r="Y669" s="12">
        <v>277</v>
      </c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3"/>
    </row>
    <row r="671" spans="2:52" ht="15.75" thickBot="1" x14ac:dyDescent="0.3"/>
    <row r="672" spans="2:52" ht="15.75" thickBot="1" x14ac:dyDescent="0.3">
      <c r="C672" s="1">
        <v>83</v>
      </c>
      <c r="D672" s="14" t="s">
        <v>3</v>
      </c>
      <c r="E672" s="14"/>
      <c r="F672" s="14"/>
      <c r="G672" s="15" t="s">
        <v>4</v>
      </c>
      <c r="H672" s="15"/>
      <c r="I672" s="15"/>
      <c r="J672" s="15"/>
      <c r="K672" s="15"/>
      <c r="L672" s="15"/>
      <c r="M672" s="15" t="s">
        <v>5</v>
      </c>
      <c r="N672" s="15"/>
      <c r="AJ672" s="16" t="s">
        <v>6</v>
      </c>
      <c r="AK672" s="17"/>
      <c r="AL672" s="17"/>
      <c r="AM672" s="17"/>
      <c r="AO672" s="16" t="s">
        <v>7</v>
      </c>
      <c r="AP672" s="17"/>
      <c r="AQ672" s="17"/>
      <c r="AR672" s="17"/>
      <c r="AU672" s="39" t="s">
        <v>20</v>
      </c>
      <c r="AV672" s="40"/>
      <c r="AW672" s="40"/>
      <c r="AX672" s="40"/>
      <c r="AY672" s="40"/>
      <c r="AZ672" s="41"/>
    </row>
    <row r="673" spans="2:52" ht="15.75" thickBot="1" x14ac:dyDescent="0.3">
      <c r="D673" s="22">
        <v>4861</v>
      </c>
      <c r="E673" s="23"/>
      <c r="F673" s="24"/>
      <c r="G673" s="25">
        <v>45593</v>
      </c>
      <c r="H673" s="26"/>
      <c r="I673" s="26"/>
      <c r="J673" s="26"/>
      <c r="K673" s="26"/>
      <c r="L673" s="27"/>
      <c r="M673" s="28">
        <v>6</v>
      </c>
      <c r="N673" s="28"/>
      <c r="AJ673" s="29">
        <v>1700</v>
      </c>
      <c r="AK673" s="30"/>
      <c r="AL673" s="30"/>
      <c r="AM673" s="30"/>
      <c r="AO673" s="42">
        <f>AJ673-E677-I677-M677-Q677-U677-Y677-AC677-AG677-AK677-AO677</f>
        <v>0</v>
      </c>
      <c r="AP673" s="43"/>
      <c r="AQ673" s="43"/>
      <c r="AR673" s="43"/>
      <c r="AU673" s="44" t="s">
        <v>21</v>
      </c>
      <c r="AV673" s="45"/>
      <c r="AW673" s="45"/>
      <c r="AX673" s="45" t="s">
        <v>22</v>
      </c>
      <c r="AY673" s="45"/>
      <c r="AZ673" s="46"/>
    </row>
    <row r="674" spans="2:52" ht="15.75" thickBot="1" x14ac:dyDescent="0.3">
      <c r="AU674" s="47">
        <v>20</v>
      </c>
      <c r="AV674" s="48"/>
      <c r="AW674" s="48"/>
      <c r="AX674" s="48">
        <v>1</v>
      </c>
      <c r="AY674" s="48"/>
      <c r="AZ674" s="49"/>
    </row>
    <row r="675" spans="2:52" ht="15.75" thickBot="1" x14ac:dyDescent="0.3">
      <c r="E675" s="18" t="s">
        <v>8</v>
      </c>
      <c r="F675" s="8"/>
      <c r="G675" s="8"/>
      <c r="H675" s="8"/>
      <c r="I675" s="8" t="s">
        <v>9</v>
      </c>
      <c r="J675" s="8"/>
      <c r="K675" s="8"/>
      <c r="L675" s="8"/>
      <c r="M675" s="8" t="s">
        <v>10</v>
      </c>
      <c r="N675" s="8"/>
      <c r="O675" s="8"/>
      <c r="P675" s="8"/>
      <c r="Q675" s="8" t="s">
        <v>11</v>
      </c>
      <c r="R675" s="8"/>
      <c r="S675" s="8"/>
      <c r="T675" s="8"/>
      <c r="U675" s="8" t="s">
        <v>12</v>
      </c>
      <c r="V675" s="8"/>
      <c r="W675" s="8"/>
      <c r="X675" s="8"/>
      <c r="Y675" s="8" t="s">
        <v>13</v>
      </c>
      <c r="Z675" s="8"/>
      <c r="AA675" s="8"/>
      <c r="AB675" s="8"/>
      <c r="AC675" s="8" t="s">
        <v>14</v>
      </c>
      <c r="AD675" s="8"/>
      <c r="AE675" s="8"/>
      <c r="AF675" s="8"/>
      <c r="AG675" s="8" t="s">
        <v>15</v>
      </c>
      <c r="AH675" s="8"/>
      <c r="AI675" s="8"/>
      <c r="AJ675" s="8"/>
      <c r="AK675" s="8" t="s">
        <v>16</v>
      </c>
      <c r="AL675" s="8"/>
      <c r="AM675" s="8"/>
      <c r="AN675" s="8"/>
      <c r="AO675" s="8" t="s">
        <v>17</v>
      </c>
      <c r="AP675" s="8"/>
      <c r="AQ675" s="8"/>
      <c r="AR675" s="10"/>
    </row>
    <row r="676" spans="2:52" ht="15.75" thickBot="1" x14ac:dyDescent="0.3">
      <c r="B676" s="4" t="s">
        <v>19</v>
      </c>
      <c r="C676" s="5"/>
      <c r="D676" s="6"/>
      <c r="E676" s="7">
        <v>45613</v>
      </c>
      <c r="F676" s="8"/>
      <c r="G676" s="8"/>
      <c r="H676" s="8"/>
      <c r="I676" s="9">
        <v>45627</v>
      </c>
      <c r="J676" s="8"/>
      <c r="K676" s="8"/>
      <c r="L676" s="8"/>
      <c r="M676" s="9">
        <v>45641</v>
      </c>
      <c r="N676" s="8"/>
      <c r="O676" s="8"/>
      <c r="P676" s="8"/>
      <c r="Q676" s="9">
        <v>45656</v>
      </c>
      <c r="R676" s="8"/>
      <c r="S676" s="8"/>
      <c r="T676" s="8"/>
      <c r="U676" s="9">
        <v>45674</v>
      </c>
      <c r="V676" s="8"/>
      <c r="W676" s="8"/>
      <c r="X676" s="8"/>
      <c r="Y676" s="9">
        <v>45689</v>
      </c>
      <c r="Z676" s="8"/>
      <c r="AA676" s="8"/>
      <c r="AB676" s="8"/>
      <c r="AC676" s="9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10"/>
    </row>
    <row r="677" spans="2:52" ht="15.75" thickBot="1" x14ac:dyDescent="0.3">
      <c r="E677" s="11">
        <v>283</v>
      </c>
      <c r="F677" s="12"/>
      <c r="G677" s="12"/>
      <c r="H677" s="12"/>
      <c r="I677" s="12">
        <v>283</v>
      </c>
      <c r="J677" s="12"/>
      <c r="K677" s="12"/>
      <c r="L677" s="12"/>
      <c r="M677" s="12">
        <v>283</v>
      </c>
      <c r="N677" s="12"/>
      <c r="O677" s="12"/>
      <c r="P677" s="12"/>
      <c r="Q677" s="12">
        <v>283</v>
      </c>
      <c r="R677" s="12"/>
      <c r="S677" s="12"/>
      <c r="T677" s="12"/>
      <c r="U677" s="12">
        <v>283</v>
      </c>
      <c r="V677" s="12"/>
      <c r="W677" s="12"/>
      <c r="X677" s="12"/>
      <c r="Y677" s="12">
        <v>285</v>
      </c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3"/>
    </row>
    <row r="679" spans="2:52" ht="15.75" thickBot="1" x14ac:dyDescent="0.3"/>
    <row r="680" spans="2:52" ht="15.75" thickBot="1" x14ac:dyDescent="0.3">
      <c r="C680" s="1">
        <v>84</v>
      </c>
      <c r="D680" s="14" t="s">
        <v>3</v>
      </c>
      <c r="E680" s="14"/>
      <c r="F680" s="14"/>
      <c r="G680" s="15" t="s">
        <v>4</v>
      </c>
      <c r="H680" s="15"/>
      <c r="I680" s="15"/>
      <c r="J680" s="15"/>
      <c r="K680" s="15"/>
      <c r="L680" s="15"/>
      <c r="M680" s="15" t="s">
        <v>5</v>
      </c>
      <c r="N680" s="15"/>
      <c r="AJ680" s="16" t="s">
        <v>6</v>
      </c>
      <c r="AK680" s="17"/>
      <c r="AL680" s="17"/>
      <c r="AM680" s="17"/>
      <c r="AO680" s="16" t="s">
        <v>7</v>
      </c>
      <c r="AP680" s="17"/>
      <c r="AQ680" s="17"/>
      <c r="AR680" s="17"/>
      <c r="AU680" s="39" t="s">
        <v>20</v>
      </c>
      <c r="AV680" s="40"/>
      <c r="AW680" s="40"/>
      <c r="AX680" s="40"/>
      <c r="AY680" s="40"/>
      <c r="AZ680" s="41"/>
    </row>
    <row r="681" spans="2:52" ht="15.75" thickBot="1" x14ac:dyDescent="0.3">
      <c r="D681" s="22">
        <v>4911</v>
      </c>
      <c r="E681" s="23"/>
      <c r="F681" s="24"/>
      <c r="G681" s="25">
        <v>45615</v>
      </c>
      <c r="H681" s="26"/>
      <c r="I681" s="26"/>
      <c r="J681" s="26"/>
      <c r="K681" s="26"/>
      <c r="L681" s="27"/>
      <c r="M681" s="28">
        <v>6</v>
      </c>
      <c r="N681" s="28"/>
      <c r="AJ681" s="29">
        <v>1370</v>
      </c>
      <c r="AK681" s="30"/>
      <c r="AL681" s="30"/>
      <c r="AM681" s="30"/>
      <c r="AO681" s="42">
        <f>AJ681-E685-I685-M685-Q685-U685-Y685-AC685-AG685-AK685-AO685</f>
        <v>2</v>
      </c>
      <c r="AP681" s="43"/>
      <c r="AQ681" s="43"/>
      <c r="AR681" s="43"/>
      <c r="AU681" s="44" t="s">
        <v>21</v>
      </c>
      <c r="AV681" s="45"/>
      <c r="AW681" s="45"/>
      <c r="AX681" s="45" t="s">
        <v>22</v>
      </c>
      <c r="AY681" s="45"/>
      <c r="AZ681" s="46"/>
    </row>
    <row r="682" spans="2:52" ht="15.75" thickBot="1" x14ac:dyDescent="0.3">
      <c r="AU682" s="47">
        <v>22</v>
      </c>
      <c r="AV682" s="48"/>
      <c r="AW682" s="48"/>
      <c r="AX682" s="48">
        <v>3</v>
      </c>
      <c r="AY682" s="48"/>
      <c r="AZ682" s="49"/>
    </row>
    <row r="683" spans="2:52" ht="15.75" thickBot="1" x14ac:dyDescent="0.3">
      <c r="E683" s="18" t="s">
        <v>8</v>
      </c>
      <c r="F683" s="8"/>
      <c r="G683" s="8"/>
      <c r="H683" s="8"/>
      <c r="I683" s="8" t="s">
        <v>9</v>
      </c>
      <c r="J683" s="8"/>
      <c r="K683" s="8"/>
      <c r="L683" s="8"/>
      <c r="M683" s="8" t="s">
        <v>10</v>
      </c>
      <c r="N683" s="8"/>
      <c r="O683" s="8"/>
      <c r="P683" s="8"/>
      <c r="Q683" s="8" t="s">
        <v>11</v>
      </c>
      <c r="R683" s="8"/>
      <c r="S683" s="8"/>
      <c r="T683" s="8"/>
      <c r="U683" s="8" t="s">
        <v>12</v>
      </c>
      <c r="V683" s="8"/>
      <c r="W683" s="8"/>
      <c r="X683" s="8"/>
      <c r="Y683" s="8" t="s">
        <v>13</v>
      </c>
      <c r="Z683" s="8"/>
      <c r="AA683" s="8"/>
      <c r="AB683" s="8"/>
      <c r="AC683" s="8" t="s">
        <v>14</v>
      </c>
      <c r="AD683" s="8"/>
      <c r="AE683" s="8"/>
      <c r="AF683" s="8"/>
      <c r="AG683" s="8" t="s">
        <v>15</v>
      </c>
      <c r="AH683" s="8"/>
      <c r="AI683" s="8"/>
      <c r="AJ683" s="8"/>
      <c r="AK683" s="8" t="s">
        <v>16</v>
      </c>
      <c r="AL683" s="8"/>
      <c r="AM683" s="8"/>
      <c r="AN683" s="8"/>
      <c r="AO683" s="8" t="s">
        <v>17</v>
      </c>
      <c r="AP683" s="8"/>
      <c r="AQ683" s="8"/>
      <c r="AR683" s="10"/>
    </row>
    <row r="684" spans="2:52" ht="15.75" thickBot="1" x14ac:dyDescent="0.3">
      <c r="B684" s="4" t="s">
        <v>19</v>
      </c>
      <c r="C684" s="5"/>
      <c r="D684" s="6"/>
      <c r="E684" s="7">
        <v>45627</v>
      </c>
      <c r="F684" s="8"/>
      <c r="G684" s="8"/>
      <c r="H684" s="8"/>
      <c r="I684" s="9">
        <v>45641</v>
      </c>
      <c r="J684" s="8"/>
      <c r="K684" s="8"/>
      <c r="L684" s="8"/>
      <c r="M684" s="9">
        <v>45656</v>
      </c>
      <c r="N684" s="8"/>
      <c r="O684" s="8"/>
      <c r="P684" s="8"/>
      <c r="Q684" s="9">
        <v>45674</v>
      </c>
      <c r="R684" s="8"/>
      <c r="S684" s="8"/>
      <c r="T684" s="8"/>
      <c r="U684" s="9">
        <v>45689</v>
      </c>
      <c r="V684" s="8"/>
      <c r="W684" s="8"/>
      <c r="X684" s="8"/>
      <c r="Y684" s="9">
        <v>45704</v>
      </c>
      <c r="Z684" s="8"/>
      <c r="AA684" s="8"/>
      <c r="AB684" s="8"/>
      <c r="AC684" s="9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10"/>
    </row>
    <row r="685" spans="2:52" ht="15.75" thickBot="1" x14ac:dyDescent="0.3">
      <c r="E685" s="11">
        <v>228</v>
      </c>
      <c r="F685" s="12"/>
      <c r="G685" s="12"/>
      <c r="H685" s="12"/>
      <c r="I685" s="12">
        <v>228</v>
      </c>
      <c r="J685" s="12"/>
      <c r="K685" s="12"/>
      <c r="L685" s="12"/>
      <c r="M685" s="12">
        <v>228</v>
      </c>
      <c r="N685" s="12"/>
      <c r="O685" s="12"/>
      <c r="P685" s="12"/>
      <c r="Q685" s="12">
        <v>228</v>
      </c>
      <c r="R685" s="12"/>
      <c r="S685" s="12"/>
      <c r="T685" s="12"/>
      <c r="U685" s="12">
        <v>228</v>
      </c>
      <c r="V685" s="12"/>
      <c r="W685" s="12"/>
      <c r="X685" s="12"/>
      <c r="Y685" s="12">
        <v>228</v>
      </c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3"/>
    </row>
    <row r="687" spans="2:52" ht="15.75" thickBot="1" x14ac:dyDescent="0.3"/>
    <row r="688" spans="2:52" ht="15.75" thickBot="1" x14ac:dyDescent="0.3">
      <c r="C688" s="1">
        <v>85</v>
      </c>
      <c r="D688" s="14" t="s">
        <v>3</v>
      </c>
      <c r="E688" s="14"/>
      <c r="F688" s="14"/>
      <c r="G688" s="15" t="s">
        <v>4</v>
      </c>
      <c r="H688" s="15"/>
      <c r="I688" s="15"/>
      <c r="J688" s="15"/>
      <c r="K688" s="15"/>
      <c r="L688" s="15"/>
      <c r="M688" s="15" t="s">
        <v>5</v>
      </c>
      <c r="N688" s="15"/>
      <c r="AJ688" s="16" t="s">
        <v>6</v>
      </c>
      <c r="AK688" s="17"/>
      <c r="AL688" s="17"/>
      <c r="AM688" s="17"/>
      <c r="AO688" s="16" t="s">
        <v>7</v>
      </c>
      <c r="AP688" s="17"/>
      <c r="AQ688" s="17"/>
      <c r="AR688" s="17"/>
      <c r="AU688" s="39" t="s">
        <v>20</v>
      </c>
      <c r="AV688" s="40"/>
      <c r="AW688" s="40"/>
      <c r="AX688" s="40"/>
      <c r="AY688" s="40"/>
      <c r="AZ688" s="41"/>
    </row>
    <row r="689" spans="2:52" ht="15.75" thickBot="1" x14ac:dyDescent="0.3">
      <c r="D689" s="22">
        <v>5200</v>
      </c>
      <c r="E689" s="23"/>
      <c r="F689" s="24"/>
      <c r="G689" s="25">
        <v>45697</v>
      </c>
      <c r="H689" s="26"/>
      <c r="I689" s="26"/>
      <c r="J689" s="26"/>
      <c r="K689" s="26"/>
      <c r="L689" s="27"/>
      <c r="M689" s="28">
        <v>5</v>
      </c>
      <c r="N689" s="28"/>
      <c r="AJ689" s="29">
        <v>1060</v>
      </c>
      <c r="AK689" s="30"/>
      <c r="AL689" s="30"/>
      <c r="AM689" s="30"/>
      <c r="AO689" s="42">
        <f>AJ689-E693-I693-M693-Q693-U693-Y693-AC693</f>
        <v>0</v>
      </c>
      <c r="AP689" s="43"/>
      <c r="AQ689" s="43"/>
      <c r="AR689" s="43"/>
      <c r="AU689" s="44" t="s">
        <v>21</v>
      </c>
      <c r="AV689" s="45"/>
      <c r="AW689" s="45"/>
      <c r="AX689" s="45" t="s">
        <v>22</v>
      </c>
      <c r="AY689" s="45"/>
      <c r="AZ689" s="46"/>
    </row>
    <row r="690" spans="2:52" ht="15.75" thickBot="1" x14ac:dyDescent="0.3">
      <c r="AU690" s="47">
        <v>4</v>
      </c>
      <c r="AV690" s="48"/>
      <c r="AW690" s="48"/>
      <c r="AX690" s="48">
        <v>8</v>
      </c>
      <c r="AY690" s="48"/>
      <c r="AZ690" s="49"/>
    </row>
    <row r="691" spans="2:52" ht="15.75" thickBot="1" x14ac:dyDescent="0.3">
      <c r="E691" s="18" t="s">
        <v>8</v>
      </c>
      <c r="F691" s="8"/>
      <c r="G691" s="8"/>
      <c r="H691" s="8"/>
      <c r="I691" s="8" t="s">
        <v>9</v>
      </c>
      <c r="J691" s="8"/>
      <c r="K691" s="8"/>
      <c r="L691" s="8"/>
      <c r="M691" s="8" t="s">
        <v>10</v>
      </c>
      <c r="N691" s="8"/>
      <c r="O691" s="8"/>
      <c r="P691" s="8"/>
      <c r="Q691" s="8" t="s">
        <v>11</v>
      </c>
      <c r="R691" s="8"/>
      <c r="S691" s="8"/>
      <c r="T691" s="8"/>
      <c r="U691" s="8" t="s">
        <v>12</v>
      </c>
      <c r="V691" s="8"/>
      <c r="W691" s="8"/>
      <c r="X691" s="8"/>
      <c r="Y691" s="8" t="s">
        <v>13</v>
      </c>
      <c r="Z691" s="8"/>
      <c r="AA691" s="8"/>
      <c r="AB691" s="8"/>
      <c r="AC691" s="8" t="s">
        <v>14</v>
      </c>
      <c r="AD691" s="8"/>
      <c r="AE691" s="8"/>
      <c r="AF691" s="8"/>
      <c r="AG691" s="8" t="s">
        <v>15</v>
      </c>
      <c r="AH691" s="8"/>
      <c r="AI691" s="8"/>
      <c r="AJ691" s="8"/>
      <c r="AK691" s="8" t="s">
        <v>16</v>
      </c>
      <c r="AL691" s="8"/>
      <c r="AM691" s="8"/>
      <c r="AN691" s="8"/>
      <c r="AO691" s="8" t="s">
        <v>17</v>
      </c>
      <c r="AP691" s="8"/>
      <c r="AQ691" s="8"/>
      <c r="AR691" s="10"/>
    </row>
    <row r="692" spans="2:52" ht="15.75" thickBot="1" x14ac:dyDescent="0.3">
      <c r="B692" s="4" t="s">
        <v>19</v>
      </c>
      <c r="C692" s="5"/>
      <c r="D692" s="6"/>
      <c r="E692" s="7">
        <v>45719</v>
      </c>
      <c r="F692" s="8"/>
      <c r="G692" s="8"/>
      <c r="H692" s="8"/>
      <c r="I692" s="9">
        <v>45732</v>
      </c>
      <c r="J692" s="8"/>
      <c r="K692" s="8"/>
      <c r="L692" s="8"/>
      <c r="M692" s="9">
        <v>45746</v>
      </c>
      <c r="N692" s="8"/>
      <c r="O692" s="8"/>
      <c r="P692" s="8"/>
      <c r="Q692" s="9">
        <v>45762</v>
      </c>
      <c r="R692" s="8"/>
      <c r="S692" s="8"/>
      <c r="T692" s="8"/>
      <c r="U692" s="9">
        <v>45777</v>
      </c>
      <c r="V692" s="8"/>
      <c r="W692" s="8"/>
      <c r="X692" s="8"/>
      <c r="Y692" s="9"/>
      <c r="Z692" s="8"/>
      <c r="AA692" s="8"/>
      <c r="AB692" s="8"/>
      <c r="AC692" s="9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10"/>
    </row>
    <row r="693" spans="2:52" ht="15.75" thickBot="1" x14ac:dyDescent="0.3">
      <c r="E693" s="11">
        <v>212</v>
      </c>
      <c r="F693" s="12"/>
      <c r="G693" s="12"/>
      <c r="H693" s="12"/>
      <c r="I693" s="12">
        <v>212</v>
      </c>
      <c r="J693" s="12"/>
      <c r="K693" s="12"/>
      <c r="L693" s="12"/>
      <c r="M693" s="12">
        <v>212</v>
      </c>
      <c r="N693" s="12"/>
      <c r="O693" s="12"/>
      <c r="P693" s="12"/>
      <c r="Q693" s="12">
        <v>212</v>
      </c>
      <c r="R693" s="12"/>
      <c r="S693" s="12"/>
      <c r="T693" s="12"/>
      <c r="U693" s="12">
        <v>212</v>
      </c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3"/>
    </row>
    <row r="695" spans="2:52" ht="15.75" thickBot="1" x14ac:dyDescent="0.3"/>
    <row r="696" spans="2:52" ht="15.75" thickBot="1" x14ac:dyDescent="0.3">
      <c r="C696" s="1">
        <v>86</v>
      </c>
      <c r="D696" s="14" t="s">
        <v>3</v>
      </c>
      <c r="E696" s="14"/>
      <c r="F696" s="14"/>
      <c r="G696" s="15" t="s">
        <v>4</v>
      </c>
      <c r="H696" s="15"/>
      <c r="I696" s="15"/>
      <c r="J696" s="15"/>
      <c r="K696" s="15"/>
      <c r="L696" s="15"/>
      <c r="M696" s="15" t="s">
        <v>5</v>
      </c>
      <c r="N696" s="15"/>
      <c r="AJ696" s="16" t="s">
        <v>6</v>
      </c>
      <c r="AK696" s="17"/>
      <c r="AL696" s="17"/>
      <c r="AM696" s="17"/>
      <c r="AO696" s="16" t="s">
        <v>7</v>
      </c>
      <c r="AP696" s="17"/>
      <c r="AQ696" s="17"/>
      <c r="AR696" s="17"/>
      <c r="AU696" s="39" t="s">
        <v>20</v>
      </c>
      <c r="AV696" s="40"/>
      <c r="AW696" s="40"/>
      <c r="AX696" s="40"/>
      <c r="AY696" s="40"/>
      <c r="AZ696" s="41"/>
    </row>
    <row r="697" spans="2:52" ht="15.75" thickBot="1" x14ac:dyDescent="0.3">
      <c r="D697" s="22">
        <v>5269</v>
      </c>
      <c r="E697" s="23"/>
      <c r="F697" s="24"/>
      <c r="G697" s="25">
        <v>45732</v>
      </c>
      <c r="H697" s="26"/>
      <c r="I697" s="26"/>
      <c r="J697" s="26"/>
      <c r="K697" s="26"/>
      <c r="L697" s="27"/>
      <c r="M697" s="28">
        <v>6</v>
      </c>
      <c r="N697" s="28"/>
      <c r="AJ697" s="29">
        <v>1700</v>
      </c>
      <c r="AK697" s="30"/>
      <c r="AL697" s="30"/>
      <c r="AM697" s="30"/>
      <c r="AO697" s="42">
        <f>AJ697-E701-I701-M701-Q701-U701-Y701-AC701-AG701-AK701-AO701</f>
        <v>0</v>
      </c>
      <c r="AP697" s="43"/>
      <c r="AQ697" s="43"/>
      <c r="AR697" s="43"/>
      <c r="AU697" s="44" t="s">
        <v>21</v>
      </c>
      <c r="AV697" s="45"/>
      <c r="AW697" s="45"/>
      <c r="AX697" s="45" t="s">
        <v>22</v>
      </c>
      <c r="AY697" s="45"/>
      <c r="AZ697" s="46"/>
    </row>
    <row r="698" spans="2:52" ht="15.75" thickBot="1" x14ac:dyDescent="0.3">
      <c r="AU698" s="47">
        <v>6</v>
      </c>
      <c r="AV698" s="48"/>
      <c r="AW698" s="48"/>
      <c r="AX698" s="48">
        <v>11</v>
      </c>
      <c r="AY698" s="48"/>
      <c r="AZ698" s="49"/>
    </row>
    <row r="699" spans="2:52" ht="15.75" thickBot="1" x14ac:dyDescent="0.3">
      <c r="E699" s="18" t="s">
        <v>8</v>
      </c>
      <c r="F699" s="8"/>
      <c r="G699" s="8"/>
      <c r="H699" s="8"/>
      <c r="I699" s="8" t="s">
        <v>9</v>
      </c>
      <c r="J699" s="8"/>
      <c r="K699" s="8"/>
      <c r="L699" s="8"/>
      <c r="M699" s="8" t="s">
        <v>10</v>
      </c>
      <c r="N699" s="8"/>
      <c r="O699" s="8"/>
      <c r="P699" s="8"/>
      <c r="Q699" s="8" t="s">
        <v>11</v>
      </c>
      <c r="R699" s="8"/>
      <c r="S699" s="8"/>
      <c r="T699" s="8"/>
      <c r="U699" s="8" t="s">
        <v>12</v>
      </c>
      <c r="V699" s="8"/>
      <c r="W699" s="8"/>
      <c r="X699" s="8"/>
      <c r="Y699" s="8" t="s">
        <v>13</v>
      </c>
      <c r="Z699" s="8"/>
      <c r="AA699" s="8"/>
      <c r="AB699" s="8"/>
      <c r="AC699" s="8" t="s">
        <v>14</v>
      </c>
      <c r="AD699" s="8"/>
      <c r="AE699" s="8"/>
      <c r="AF699" s="8"/>
      <c r="AG699" s="8" t="s">
        <v>15</v>
      </c>
      <c r="AH699" s="8"/>
      <c r="AI699" s="8"/>
      <c r="AJ699" s="8"/>
      <c r="AK699" s="8" t="s">
        <v>16</v>
      </c>
      <c r="AL699" s="8"/>
      <c r="AM699" s="8"/>
      <c r="AN699" s="8"/>
      <c r="AO699" s="8" t="s">
        <v>17</v>
      </c>
      <c r="AP699" s="8"/>
      <c r="AQ699" s="8"/>
      <c r="AR699" s="10"/>
    </row>
    <row r="700" spans="2:52" ht="15.75" thickBot="1" x14ac:dyDescent="0.3">
      <c r="B700" s="4" t="s">
        <v>19</v>
      </c>
      <c r="C700" s="5"/>
      <c r="D700" s="6"/>
      <c r="E700" s="7">
        <v>45746</v>
      </c>
      <c r="F700" s="8"/>
      <c r="G700" s="8"/>
      <c r="H700" s="8"/>
      <c r="I700" s="9">
        <v>45762</v>
      </c>
      <c r="J700" s="8"/>
      <c r="K700" s="8"/>
      <c r="L700" s="8"/>
      <c r="M700" s="9">
        <v>45777</v>
      </c>
      <c r="N700" s="8"/>
      <c r="O700" s="8"/>
      <c r="P700" s="8"/>
      <c r="Q700" s="9">
        <v>45793</v>
      </c>
      <c r="R700" s="8"/>
      <c r="S700" s="8"/>
      <c r="T700" s="8"/>
      <c r="U700" s="9">
        <v>45809</v>
      </c>
      <c r="V700" s="8"/>
      <c r="W700" s="8"/>
      <c r="X700" s="8"/>
      <c r="Y700" s="9">
        <v>45823</v>
      </c>
      <c r="Z700" s="8"/>
      <c r="AA700" s="8"/>
      <c r="AB700" s="8"/>
      <c r="AC700" s="9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10"/>
    </row>
    <row r="701" spans="2:52" ht="15.75" thickBot="1" x14ac:dyDescent="0.3">
      <c r="E701" s="11">
        <v>283</v>
      </c>
      <c r="F701" s="12"/>
      <c r="G701" s="12"/>
      <c r="H701" s="12"/>
      <c r="I701" s="12">
        <v>283</v>
      </c>
      <c r="J701" s="12"/>
      <c r="K701" s="12"/>
      <c r="L701" s="12"/>
      <c r="M701" s="12">
        <v>283</v>
      </c>
      <c r="N701" s="12"/>
      <c r="O701" s="12"/>
      <c r="P701" s="12"/>
      <c r="Q701" s="12">
        <v>283</v>
      </c>
      <c r="R701" s="12"/>
      <c r="S701" s="12"/>
      <c r="T701" s="12"/>
      <c r="U701" s="12">
        <v>283</v>
      </c>
      <c r="V701" s="12"/>
      <c r="W701" s="12"/>
      <c r="X701" s="12"/>
      <c r="Y701" s="12">
        <v>285</v>
      </c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3"/>
    </row>
    <row r="703" spans="2:52" ht="15.75" thickBot="1" x14ac:dyDescent="0.3"/>
    <row r="704" spans="2:52" ht="15.75" thickBot="1" x14ac:dyDescent="0.3">
      <c r="C704" s="1">
        <v>87</v>
      </c>
      <c r="D704" s="14" t="s">
        <v>3</v>
      </c>
      <c r="E704" s="14"/>
      <c r="F704" s="14"/>
      <c r="G704" s="15" t="s">
        <v>4</v>
      </c>
      <c r="H704" s="15"/>
      <c r="I704" s="15"/>
      <c r="J704" s="15"/>
      <c r="K704" s="15"/>
      <c r="L704" s="15"/>
      <c r="M704" s="15" t="s">
        <v>5</v>
      </c>
      <c r="N704" s="15"/>
      <c r="AJ704" s="16" t="s">
        <v>6</v>
      </c>
      <c r="AK704" s="17"/>
      <c r="AL704" s="17"/>
      <c r="AM704" s="17"/>
      <c r="AO704" s="16" t="s">
        <v>7</v>
      </c>
      <c r="AP704" s="17"/>
      <c r="AQ704" s="17"/>
      <c r="AR704" s="17"/>
      <c r="AU704" s="39" t="s">
        <v>20</v>
      </c>
      <c r="AV704" s="40"/>
      <c r="AW704" s="40"/>
      <c r="AX704" s="40"/>
      <c r="AY704" s="40"/>
      <c r="AZ704" s="41"/>
    </row>
    <row r="705" spans="2:52" ht="15.75" thickBot="1" x14ac:dyDescent="0.3">
      <c r="D705" s="22">
        <v>5429</v>
      </c>
      <c r="E705" s="23"/>
      <c r="F705" s="24"/>
      <c r="G705" s="25">
        <v>45777</v>
      </c>
      <c r="H705" s="26"/>
      <c r="I705" s="26"/>
      <c r="J705" s="26"/>
      <c r="K705" s="26"/>
      <c r="L705" s="27"/>
      <c r="M705" s="28">
        <v>4</v>
      </c>
      <c r="N705" s="28"/>
      <c r="AJ705" s="29">
        <v>998</v>
      </c>
      <c r="AK705" s="30"/>
      <c r="AL705" s="30"/>
      <c r="AM705" s="30"/>
      <c r="AO705" s="42"/>
      <c r="AP705" s="43"/>
      <c r="AQ705" s="43"/>
      <c r="AR705" s="43"/>
      <c r="AU705" s="44" t="s">
        <v>21</v>
      </c>
      <c r="AV705" s="45"/>
      <c r="AW705" s="45"/>
      <c r="AX705" s="45" t="s">
        <v>22</v>
      </c>
      <c r="AY705" s="45"/>
      <c r="AZ705" s="46"/>
    </row>
    <row r="706" spans="2:52" ht="15.75" thickBot="1" x14ac:dyDescent="0.3">
      <c r="AU706" s="47">
        <v>9</v>
      </c>
      <c r="AV706" s="48"/>
      <c r="AW706" s="48"/>
      <c r="AX706" s="48">
        <v>12</v>
      </c>
      <c r="AY706" s="48"/>
      <c r="AZ706" s="49"/>
    </row>
    <row r="707" spans="2:52" ht="15.75" thickBot="1" x14ac:dyDescent="0.3">
      <c r="E707" s="18" t="s">
        <v>8</v>
      </c>
      <c r="F707" s="8"/>
      <c r="G707" s="8"/>
      <c r="H707" s="8"/>
      <c r="I707" s="8" t="s">
        <v>9</v>
      </c>
      <c r="J707" s="8"/>
      <c r="K707" s="8"/>
      <c r="L707" s="8"/>
      <c r="M707" s="8" t="s">
        <v>10</v>
      </c>
      <c r="N707" s="8"/>
      <c r="O707" s="8"/>
      <c r="P707" s="8"/>
      <c r="Q707" s="8" t="s">
        <v>11</v>
      </c>
      <c r="R707" s="8"/>
      <c r="S707" s="8"/>
      <c r="T707" s="8"/>
      <c r="U707" s="8" t="s">
        <v>12</v>
      </c>
      <c r="V707" s="8"/>
      <c r="W707" s="8"/>
      <c r="X707" s="8"/>
      <c r="Y707" s="8" t="s">
        <v>13</v>
      </c>
      <c r="Z707" s="8"/>
      <c r="AA707" s="8"/>
      <c r="AB707" s="8"/>
      <c r="AC707" s="8" t="s">
        <v>14</v>
      </c>
      <c r="AD707" s="8"/>
      <c r="AE707" s="8"/>
      <c r="AF707" s="8"/>
      <c r="AG707" s="8" t="s">
        <v>15</v>
      </c>
      <c r="AH707" s="8"/>
      <c r="AI707" s="8"/>
      <c r="AJ707" s="8"/>
      <c r="AK707" s="8" t="s">
        <v>16</v>
      </c>
      <c r="AL707" s="8"/>
      <c r="AM707" s="8"/>
      <c r="AN707" s="8"/>
      <c r="AO707" s="8" t="s">
        <v>17</v>
      </c>
      <c r="AP707" s="8"/>
      <c r="AQ707" s="8"/>
      <c r="AR707" s="10"/>
    </row>
    <row r="708" spans="2:52" ht="15.75" thickBot="1" x14ac:dyDescent="0.3">
      <c r="B708" s="4" t="s">
        <v>19</v>
      </c>
      <c r="C708" s="5"/>
      <c r="D708" s="6"/>
      <c r="E708" s="7">
        <v>45796</v>
      </c>
      <c r="F708" s="8"/>
      <c r="G708" s="8"/>
      <c r="H708" s="8"/>
      <c r="I708" s="9">
        <v>45809</v>
      </c>
      <c r="J708" s="8"/>
      <c r="K708" s="8"/>
      <c r="L708" s="8"/>
      <c r="M708" s="9">
        <v>45823</v>
      </c>
      <c r="N708" s="8"/>
      <c r="O708" s="8"/>
      <c r="P708" s="8"/>
      <c r="Q708" s="9">
        <v>45841</v>
      </c>
      <c r="R708" s="8"/>
      <c r="S708" s="8"/>
      <c r="T708" s="8"/>
      <c r="U708" s="9"/>
      <c r="V708" s="8"/>
      <c r="W708" s="8"/>
      <c r="X708" s="8"/>
      <c r="Y708" s="9"/>
      <c r="Z708" s="8"/>
      <c r="AA708" s="8"/>
      <c r="AB708" s="8"/>
      <c r="AC708" s="9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10"/>
    </row>
    <row r="709" spans="2:52" ht="15.75" thickBot="1" x14ac:dyDescent="0.3">
      <c r="E709" s="11">
        <v>250</v>
      </c>
      <c r="F709" s="12"/>
      <c r="G709" s="12"/>
      <c r="H709" s="12"/>
      <c r="I709" s="12">
        <v>250</v>
      </c>
      <c r="J709" s="12"/>
      <c r="K709" s="12"/>
      <c r="L709" s="12"/>
      <c r="M709" s="12">
        <v>250</v>
      </c>
      <c r="N709" s="12"/>
      <c r="O709" s="12"/>
      <c r="P709" s="12"/>
      <c r="Q709" s="12">
        <v>250</v>
      </c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3"/>
    </row>
    <row r="711" spans="2:52" ht="15.75" thickBot="1" x14ac:dyDescent="0.3"/>
    <row r="712" spans="2:52" ht="15.75" thickBot="1" x14ac:dyDescent="0.3">
      <c r="C712" s="1">
        <v>88</v>
      </c>
      <c r="D712" s="14" t="s">
        <v>3</v>
      </c>
      <c r="E712" s="14"/>
      <c r="F712" s="14"/>
      <c r="G712" s="15" t="s">
        <v>4</v>
      </c>
      <c r="H712" s="15"/>
      <c r="I712" s="15"/>
      <c r="J712" s="15"/>
      <c r="K712" s="15"/>
      <c r="L712" s="15"/>
      <c r="M712" s="15" t="s">
        <v>5</v>
      </c>
      <c r="N712" s="15"/>
      <c r="AJ712" s="16" t="s">
        <v>6</v>
      </c>
      <c r="AK712" s="17"/>
      <c r="AL712" s="17"/>
      <c r="AM712" s="17"/>
      <c r="AO712" s="16" t="s">
        <v>7</v>
      </c>
      <c r="AP712" s="17"/>
      <c r="AQ712" s="17"/>
      <c r="AR712" s="17"/>
      <c r="AU712" s="39" t="s">
        <v>20</v>
      </c>
      <c r="AV712" s="40"/>
      <c r="AW712" s="40"/>
      <c r="AX712" s="40"/>
      <c r="AY712" s="40"/>
      <c r="AZ712" s="41"/>
    </row>
    <row r="713" spans="2:52" ht="15.75" thickBot="1" x14ac:dyDescent="0.3">
      <c r="D713" s="22">
        <v>5604</v>
      </c>
      <c r="E713" s="23"/>
      <c r="F713" s="24"/>
      <c r="G713" s="25">
        <v>45837</v>
      </c>
      <c r="H713" s="26"/>
      <c r="I713" s="26"/>
      <c r="J713" s="26"/>
      <c r="K713" s="26"/>
      <c r="L713" s="27"/>
      <c r="M713" s="28">
        <v>4</v>
      </c>
      <c r="N713" s="28"/>
      <c r="AJ713" s="29">
        <v>989</v>
      </c>
      <c r="AK713" s="30"/>
      <c r="AL713" s="30"/>
      <c r="AM713" s="30"/>
      <c r="AO713" s="42">
        <f>AJ713-E717-I717-M717-Q717-U717-Y717-AC717-AG717</f>
        <v>0</v>
      </c>
      <c r="AP713" s="43"/>
      <c r="AQ713" s="43"/>
      <c r="AR713" s="43"/>
      <c r="AU713" s="44" t="s">
        <v>21</v>
      </c>
      <c r="AV713" s="45"/>
      <c r="AW713" s="45"/>
      <c r="AX713" s="45" t="s">
        <v>22</v>
      </c>
      <c r="AY713" s="45"/>
      <c r="AZ713" s="46"/>
    </row>
    <row r="714" spans="2:52" ht="15.75" thickBot="1" x14ac:dyDescent="0.3">
      <c r="AU714" s="47">
        <v>13</v>
      </c>
      <c r="AV714" s="48"/>
      <c r="AW714" s="48"/>
      <c r="AX714" s="48">
        <v>16</v>
      </c>
      <c r="AY714" s="48"/>
      <c r="AZ714" s="49"/>
    </row>
    <row r="715" spans="2:52" ht="15.75" thickBot="1" x14ac:dyDescent="0.3">
      <c r="E715" s="18" t="s">
        <v>8</v>
      </c>
      <c r="F715" s="8"/>
      <c r="G715" s="8"/>
      <c r="H715" s="8"/>
      <c r="I715" s="8" t="s">
        <v>9</v>
      </c>
      <c r="J715" s="8"/>
      <c r="K715" s="8"/>
      <c r="L715" s="8"/>
      <c r="M715" s="8" t="s">
        <v>10</v>
      </c>
      <c r="N715" s="8"/>
      <c r="O715" s="8"/>
      <c r="P715" s="8"/>
      <c r="Q715" s="8" t="s">
        <v>11</v>
      </c>
      <c r="R715" s="8"/>
      <c r="S715" s="8"/>
      <c r="T715" s="8"/>
      <c r="U715" s="8" t="s">
        <v>12</v>
      </c>
      <c r="V715" s="8"/>
      <c r="W715" s="8"/>
      <c r="X715" s="8"/>
      <c r="Y715" s="8" t="s">
        <v>13</v>
      </c>
      <c r="Z715" s="8"/>
      <c r="AA715" s="8"/>
      <c r="AB715" s="8"/>
      <c r="AC715" s="8" t="s">
        <v>14</v>
      </c>
      <c r="AD715" s="8"/>
      <c r="AE715" s="8"/>
      <c r="AF715" s="8"/>
      <c r="AG715" s="8" t="s">
        <v>15</v>
      </c>
      <c r="AH715" s="8"/>
      <c r="AI715" s="8"/>
      <c r="AJ715" s="8"/>
      <c r="AK715" s="8" t="s">
        <v>16</v>
      </c>
      <c r="AL715" s="8"/>
      <c r="AM715" s="8"/>
      <c r="AN715" s="8"/>
      <c r="AO715" s="8" t="s">
        <v>17</v>
      </c>
      <c r="AP715" s="8"/>
      <c r="AQ715" s="8"/>
      <c r="AR715" s="10"/>
    </row>
    <row r="716" spans="2:52" ht="15.75" thickBot="1" x14ac:dyDescent="0.3">
      <c r="B716" s="4" t="s">
        <v>19</v>
      </c>
      <c r="C716" s="5"/>
      <c r="D716" s="6"/>
      <c r="E716" s="7">
        <v>45852</v>
      </c>
      <c r="F716" s="8"/>
      <c r="G716" s="8"/>
      <c r="H716" s="8"/>
      <c r="I716" s="9">
        <v>45869</v>
      </c>
      <c r="J716" s="8"/>
      <c r="K716" s="8"/>
      <c r="L716" s="8"/>
      <c r="M716" s="9">
        <v>45885</v>
      </c>
      <c r="N716" s="8"/>
      <c r="O716" s="8"/>
      <c r="P716" s="8"/>
      <c r="Q716" s="9">
        <v>45900</v>
      </c>
      <c r="R716" s="8"/>
      <c r="S716" s="8"/>
      <c r="T716" s="8"/>
      <c r="U716" s="9"/>
      <c r="V716" s="8"/>
      <c r="W716" s="8"/>
      <c r="X716" s="8"/>
      <c r="Y716" s="9"/>
      <c r="Z716" s="8"/>
      <c r="AA716" s="8"/>
      <c r="AB716" s="8"/>
      <c r="AC716" s="9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10"/>
    </row>
    <row r="717" spans="2:52" ht="15.75" thickBot="1" x14ac:dyDescent="0.3">
      <c r="E717" s="11">
        <v>247</v>
      </c>
      <c r="F717" s="12"/>
      <c r="G717" s="12"/>
      <c r="H717" s="12"/>
      <c r="I717" s="12">
        <v>247</v>
      </c>
      <c r="J717" s="12"/>
      <c r="K717" s="12"/>
      <c r="L717" s="12"/>
      <c r="M717" s="12">
        <v>247</v>
      </c>
      <c r="N717" s="12"/>
      <c r="O717" s="12"/>
      <c r="P717" s="12"/>
      <c r="Q717" s="12">
        <v>247</v>
      </c>
      <c r="R717" s="12"/>
      <c r="S717" s="12"/>
      <c r="T717" s="12"/>
      <c r="U717" s="12">
        <v>1</v>
      </c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3"/>
    </row>
    <row r="719" spans="2:52" ht="15.75" thickBot="1" x14ac:dyDescent="0.3"/>
    <row r="720" spans="2:52" ht="15.75" thickBot="1" x14ac:dyDescent="0.3">
      <c r="C720" s="1">
        <v>89</v>
      </c>
      <c r="D720" s="14" t="s">
        <v>3</v>
      </c>
      <c r="E720" s="14"/>
      <c r="F720" s="14"/>
      <c r="G720" s="15" t="s">
        <v>4</v>
      </c>
      <c r="H720" s="15"/>
      <c r="I720" s="15"/>
      <c r="J720" s="15"/>
      <c r="K720" s="15"/>
      <c r="L720" s="15"/>
      <c r="M720" s="15" t="s">
        <v>5</v>
      </c>
      <c r="N720" s="15"/>
      <c r="AJ720" s="16" t="s">
        <v>6</v>
      </c>
      <c r="AK720" s="17"/>
      <c r="AL720" s="17"/>
      <c r="AM720" s="17"/>
      <c r="AO720" s="16" t="s">
        <v>7</v>
      </c>
      <c r="AP720" s="17"/>
      <c r="AQ720" s="17"/>
      <c r="AR720" s="17"/>
      <c r="AU720" s="39" t="s">
        <v>20</v>
      </c>
      <c r="AV720" s="40"/>
      <c r="AW720" s="40"/>
      <c r="AX720" s="40"/>
      <c r="AY720" s="40"/>
      <c r="AZ720" s="41"/>
    </row>
    <row r="721" spans="2:52" ht="15.75" thickBot="1" x14ac:dyDescent="0.3">
      <c r="D721" s="22">
        <v>5636</v>
      </c>
      <c r="E721" s="23"/>
      <c r="F721" s="24"/>
      <c r="G721" s="25">
        <v>45852</v>
      </c>
      <c r="H721" s="26"/>
      <c r="I721" s="26"/>
      <c r="J721" s="26"/>
      <c r="K721" s="26"/>
      <c r="L721" s="27"/>
      <c r="M721" s="28">
        <v>6</v>
      </c>
      <c r="N721" s="28"/>
      <c r="AJ721" s="29">
        <v>1550</v>
      </c>
      <c r="AK721" s="30"/>
      <c r="AL721" s="30"/>
      <c r="AM721" s="30"/>
      <c r="AO721" s="42">
        <f>AJ721-E725-I725-M725-Q725-U725-Y725-AC725-AG725-AK725-AO725</f>
        <v>0</v>
      </c>
      <c r="AP721" s="43"/>
      <c r="AQ721" s="43"/>
      <c r="AR721" s="43"/>
      <c r="AU721" s="44" t="s">
        <v>21</v>
      </c>
      <c r="AV721" s="45"/>
      <c r="AW721" s="45"/>
      <c r="AX721" s="45" t="s">
        <v>22</v>
      </c>
      <c r="AY721" s="45"/>
      <c r="AZ721" s="46"/>
    </row>
    <row r="722" spans="2:52" ht="15.75" thickBot="1" x14ac:dyDescent="0.3">
      <c r="AU722" s="47">
        <v>14</v>
      </c>
      <c r="AV722" s="48"/>
      <c r="AW722" s="48"/>
      <c r="AX722" s="48">
        <v>19</v>
      </c>
      <c r="AY722" s="48"/>
      <c r="AZ722" s="49"/>
    </row>
    <row r="723" spans="2:52" ht="15.75" thickBot="1" x14ac:dyDescent="0.3">
      <c r="E723" s="18" t="s">
        <v>8</v>
      </c>
      <c r="F723" s="8"/>
      <c r="G723" s="8"/>
      <c r="H723" s="8"/>
      <c r="I723" s="8" t="s">
        <v>9</v>
      </c>
      <c r="J723" s="8"/>
      <c r="K723" s="8"/>
      <c r="L723" s="8"/>
      <c r="M723" s="8" t="s">
        <v>10</v>
      </c>
      <c r="N723" s="8"/>
      <c r="O723" s="8"/>
      <c r="P723" s="8"/>
      <c r="Q723" s="8" t="s">
        <v>11</v>
      </c>
      <c r="R723" s="8"/>
      <c r="S723" s="8"/>
      <c r="T723" s="8"/>
      <c r="U723" s="8" t="s">
        <v>12</v>
      </c>
      <c r="V723" s="8"/>
      <c r="W723" s="8"/>
      <c r="X723" s="8"/>
      <c r="Y723" s="8" t="s">
        <v>13</v>
      </c>
      <c r="Z723" s="8"/>
      <c r="AA723" s="8"/>
      <c r="AB723" s="8"/>
      <c r="AC723" s="8" t="s">
        <v>14</v>
      </c>
      <c r="AD723" s="8"/>
      <c r="AE723" s="8"/>
      <c r="AF723" s="8"/>
      <c r="AG723" s="8" t="s">
        <v>15</v>
      </c>
      <c r="AH723" s="8"/>
      <c r="AI723" s="8"/>
      <c r="AJ723" s="8"/>
      <c r="AK723" s="8" t="s">
        <v>16</v>
      </c>
      <c r="AL723" s="8"/>
      <c r="AM723" s="8"/>
      <c r="AN723" s="8"/>
      <c r="AO723" s="8" t="s">
        <v>17</v>
      </c>
      <c r="AP723" s="8"/>
      <c r="AQ723" s="8"/>
      <c r="AR723" s="10"/>
    </row>
    <row r="724" spans="2:52" ht="15.75" thickBot="1" x14ac:dyDescent="0.3">
      <c r="B724" s="4" t="s">
        <v>19</v>
      </c>
      <c r="C724" s="5"/>
      <c r="D724" s="6"/>
      <c r="E724" s="7">
        <v>45869</v>
      </c>
      <c r="F724" s="8"/>
      <c r="G724" s="8"/>
      <c r="H724" s="8"/>
      <c r="I724" s="9">
        <v>45885</v>
      </c>
      <c r="J724" s="8"/>
      <c r="K724" s="8"/>
      <c r="L724" s="8"/>
      <c r="M724" s="9">
        <v>45961</v>
      </c>
      <c r="N724" s="8"/>
      <c r="O724" s="8"/>
      <c r="P724" s="8"/>
      <c r="Q724" s="9">
        <v>45914</v>
      </c>
      <c r="R724" s="8"/>
      <c r="S724" s="8"/>
      <c r="T724" s="8"/>
      <c r="U724" s="9">
        <v>45931</v>
      </c>
      <c r="V724" s="8"/>
      <c r="W724" s="8"/>
      <c r="X724" s="8"/>
      <c r="Y724" s="9">
        <v>45945</v>
      </c>
      <c r="Z724" s="8"/>
      <c r="AA724" s="8"/>
      <c r="AB724" s="8"/>
      <c r="AC724" s="9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10"/>
    </row>
    <row r="725" spans="2:52" ht="15.75" thickBot="1" x14ac:dyDescent="0.3">
      <c r="E725" s="11">
        <v>258</v>
      </c>
      <c r="F725" s="12"/>
      <c r="G725" s="12"/>
      <c r="H725" s="12"/>
      <c r="I725" s="12">
        <v>258</v>
      </c>
      <c r="J725" s="12"/>
      <c r="K725" s="12"/>
      <c r="L725" s="12"/>
      <c r="M725" s="12">
        <v>258</v>
      </c>
      <c r="N725" s="12"/>
      <c r="O725" s="12"/>
      <c r="P725" s="12"/>
      <c r="Q725" s="12">
        <v>258</v>
      </c>
      <c r="R725" s="12"/>
      <c r="S725" s="12"/>
      <c r="T725" s="12"/>
      <c r="U725" s="12">
        <v>258</v>
      </c>
      <c r="V725" s="12"/>
      <c r="W725" s="12"/>
      <c r="X725" s="12"/>
      <c r="Y725" s="12">
        <v>260</v>
      </c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3"/>
    </row>
    <row r="727" spans="2:52" ht="15.75" thickBot="1" x14ac:dyDescent="0.3"/>
    <row r="728" spans="2:52" ht="15.75" thickBot="1" x14ac:dyDescent="0.3">
      <c r="C728" s="1">
        <v>90</v>
      </c>
      <c r="D728" s="14" t="s">
        <v>3</v>
      </c>
      <c r="E728" s="14"/>
      <c r="F728" s="14"/>
      <c r="G728" s="15" t="s">
        <v>4</v>
      </c>
      <c r="H728" s="15"/>
      <c r="I728" s="15"/>
      <c r="J728" s="15"/>
      <c r="K728" s="15"/>
      <c r="L728" s="15"/>
      <c r="M728" s="15" t="s">
        <v>5</v>
      </c>
      <c r="N728" s="15"/>
      <c r="AJ728" s="16" t="s">
        <v>6</v>
      </c>
      <c r="AK728" s="17"/>
      <c r="AL728" s="17"/>
      <c r="AM728" s="17"/>
      <c r="AO728" s="16" t="s">
        <v>7</v>
      </c>
      <c r="AP728" s="17"/>
      <c r="AQ728" s="17"/>
      <c r="AR728" s="17"/>
      <c r="AU728" s="39" t="s">
        <v>20</v>
      </c>
      <c r="AV728" s="40"/>
      <c r="AW728" s="40"/>
      <c r="AX728" s="40"/>
      <c r="AY728" s="40"/>
      <c r="AZ728" s="41"/>
    </row>
    <row r="729" spans="2:52" ht="15.75" thickBot="1" x14ac:dyDescent="0.3">
      <c r="D729" s="22">
        <v>5762</v>
      </c>
      <c r="E729" s="23"/>
      <c r="F729" s="24"/>
      <c r="G729" s="25">
        <v>45900</v>
      </c>
      <c r="H729" s="26"/>
      <c r="I729" s="26"/>
      <c r="J729" s="26"/>
      <c r="K729" s="26"/>
      <c r="L729" s="27"/>
      <c r="M729" s="28">
        <v>3</v>
      </c>
      <c r="N729" s="28"/>
      <c r="AJ729" s="29">
        <v>450</v>
      </c>
      <c r="AK729" s="30"/>
      <c r="AL729" s="30"/>
      <c r="AM729" s="30"/>
      <c r="AO729" s="42">
        <f>AJ729-E733-I733-M733-Q733-U733-Y733-AC733-AG733-AK733-AO733</f>
        <v>0</v>
      </c>
      <c r="AP729" s="43"/>
      <c r="AQ729" s="43"/>
      <c r="AR729" s="43"/>
      <c r="AU729" s="44" t="s">
        <v>21</v>
      </c>
      <c r="AV729" s="45"/>
      <c r="AW729" s="45"/>
      <c r="AX729" s="45" t="s">
        <v>22</v>
      </c>
      <c r="AY729" s="45"/>
      <c r="AZ729" s="46"/>
    </row>
    <row r="730" spans="2:52" ht="15.75" thickBot="1" x14ac:dyDescent="0.3">
      <c r="AU730" s="47">
        <v>17</v>
      </c>
      <c r="AV730" s="48"/>
      <c r="AW730" s="48"/>
      <c r="AX730" s="48">
        <v>19</v>
      </c>
      <c r="AY730" s="48"/>
      <c r="AZ730" s="49"/>
    </row>
    <row r="731" spans="2:52" ht="15.75" thickBot="1" x14ac:dyDescent="0.3">
      <c r="E731" s="18" t="s">
        <v>8</v>
      </c>
      <c r="F731" s="8"/>
      <c r="G731" s="8"/>
      <c r="H731" s="8"/>
      <c r="I731" s="8" t="s">
        <v>9</v>
      </c>
      <c r="J731" s="8"/>
      <c r="K731" s="8"/>
      <c r="L731" s="8"/>
      <c r="M731" s="8" t="s">
        <v>10</v>
      </c>
      <c r="N731" s="8"/>
      <c r="O731" s="8"/>
      <c r="P731" s="8"/>
      <c r="Q731" s="8" t="s">
        <v>11</v>
      </c>
      <c r="R731" s="8"/>
      <c r="S731" s="8"/>
      <c r="T731" s="8"/>
      <c r="U731" s="8" t="s">
        <v>12</v>
      </c>
      <c r="V731" s="8"/>
      <c r="W731" s="8"/>
      <c r="X731" s="8"/>
      <c r="Y731" s="8" t="s">
        <v>13</v>
      </c>
      <c r="Z731" s="8"/>
      <c r="AA731" s="8"/>
      <c r="AB731" s="8"/>
      <c r="AC731" s="8" t="s">
        <v>14</v>
      </c>
      <c r="AD731" s="8"/>
      <c r="AE731" s="8"/>
      <c r="AF731" s="8"/>
      <c r="AG731" s="8" t="s">
        <v>15</v>
      </c>
      <c r="AH731" s="8"/>
      <c r="AI731" s="8"/>
      <c r="AJ731" s="8"/>
      <c r="AK731" s="8" t="s">
        <v>16</v>
      </c>
      <c r="AL731" s="8"/>
      <c r="AM731" s="8"/>
      <c r="AN731" s="8"/>
      <c r="AO731" s="8" t="s">
        <v>17</v>
      </c>
      <c r="AP731" s="8"/>
      <c r="AQ731" s="8"/>
      <c r="AR731" s="10"/>
    </row>
    <row r="732" spans="2:52" ht="15.75" thickBot="1" x14ac:dyDescent="0.3">
      <c r="B732" s="4" t="s">
        <v>19</v>
      </c>
      <c r="C732" s="5"/>
      <c r="D732" s="6"/>
      <c r="E732" s="7">
        <v>45914</v>
      </c>
      <c r="F732" s="8"/>
      <c r="G732" s="8"/>
      <c r="H732" s="8"/>
      <c r="I732" s="9">
        <v>45931</v>
      </c>
      <c r="J732" s="8"/>
      <c r="K732" s="8"/>
      <c r="L732" s="8"/>
      <c r="M732" s="9">
        <v>45945</v>
      </c>
      <c r="N732" s="8"/>
      <c r="O732" s="8"/>
      <c r="P732" s="8"/>
      <c r="Q732" s="9"/>
      <c r="R732" s="8"/>
      <c r="S732" s="8"/>
      <c r="T732" s="8"/>
      <c r="U732" s="9"/>
      <c r="V732" s="8"/>
      <c r="W732" s="8"/>
      <c r="X732" s="8"/>
      <c r="Y732" s="9"/>
      <c r="Z732" s="8"/>
      <c r="AA732" s="8"/>
      <c r="AB732" s="8"/>
      <c r="AC732" s="9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10"/>
    </row>
    <row r="733" spans="2:52" ht="15.75" thickBot="1" x14ac:dyDescent="0.3">
      <c r="E733" s="11">
        <v>150</v>
      </c>
      <c r="F733" s="12"/>
      <c r="G733" s="12"/>
      <c r="H733" s="12"/>
      <c r="I733" s="12">
        <v>150</v>
      </c>
      <c r="J733" s="12"/>
      <c r="K733" s="12"/>
      <c r="L733" s="12"/>
      <c r="M733" s="12">
        <v>150</v>
      </c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3"/>
    </row>
    <row r="735" spans="2:52" ht="15.75" thickBot="1" x14ac:dyDescent="0.3"/>
    <row r="736" spans="2:52" ht="15.75" thickBot="1" x14ac:dyDescent="0.3">
      <c r="C736" s="1">
        <v>91</v>
      </c>
      <c r="D736" s="14" t="s">
        <v>3</v>
      </c>
      <c r="E736" s="14"/>
      <c r="F736" s="14"/>
      <c r="G736" s="15" t="s">
        <v>4</v>
      </c>
      <c r="H736" s="15"/>
      <c r="I736" s="15"/>
      <c r="J736" s="15"/>
      <c r="K736" s="15"/>
      <c r="L736" s="15"/>
      <c r="M736" s="15" t="s">
        <v>5</v>
      </c>
      <c r="N736" s="15"/>
      <c r="AJ736" s="16" t="s">
        <v>6</v>
      </c>
      <c r="AK736" s="17"/>
      <c r="AL736" s="17"/>
      <c r="AM736" s="17"/>
      <c r="AO736" s="18" t="s">
        <v>7</v>
      </c>
      <c r="AP736" s="8"/>
      <c r="AQ736" s="8"/>
      <c r="AR736" s="8"/>
      <c r="AU736" s="19" t="s">
        <v>20</v>
      </c>
      <c r="AV736" s="20"/>
      <c r="AW736" s="20"/>
      <c r="AX736" s="20"/>
      <c r="AY736" s="20"/>
      <c r="AZ736" s="21"/>
    </row>
    <row r="737" spans="2:52" ht="15.75" thickBot="1" x14ac:dyDescent="0.3">
      <c r="D737" s="22">
        <v>5960</v>
      </c>
      <c r="E737" s="23"/>
      <c r="F737" s="24"/>
      <c r="G737" s="25">
        <v>45994</v>
      </c>
      <c r="H737" s="26"/>
      <c r="I737" s="26"/>
      <c r="J737" s="26"/>
      <c r="K737" s="26"/>
      <c r="L737" s="27"/>
      <c r="M737" s="28">
        <v>6</v>
      </c>
      <c r="N737" s="28"/>
      <c r="AJ737" s="29">
        <v>2220</v>
      </c>
      <c r="AK737" s="30"/>
      <c r="AL737" s="30"/>
      <c r="AM737" s="30"/>
      <c r="AO737" s="31">
        <f>AJ737-E741-I741-M741-Q741-U741-Y741-AC741-AG741-AK741-AO741</f>
        <v>370</v>
      </c>
      <c r="AP737" s="32"/>
      <c r="AQ737" s="32"/>
      <c r="AR737" s="32"/>
      <c r="AU737" s="33" t="s">
        <v>21</v>
      </c>
      <c r="AV737" s="34"/>
      <c r="AW737" s="34"/>
      <c r="AX737" s="34" t="s">
        <v>22</v>
      </c>
      <c r="AY737" s="34"/>
      <c r="AZ737" s="35"/>
    </row>
    <row r="738" spans="2:52" ht="15.75" thickBot="1" x14ac:dyDescent="0.3">
      <c r="AU738" s="36">
        <v>23</v>
      </c>
      <c r="AV738" s="37"/>
      <c r="AW738" s="37"/>
      <c r="AX738" s="37">
        <v>4</v>
      </c>
      <c r="AY738" s="37"/>
      <c r="AZ738" s="38"/>
    </row>
    <row r="739" spans="2:52" ht="15.75" thickBot="1" x14ac:dyDescent="0.3">
      <c r="E739" s="18" t="s">
        <v>8</v>
      </c>
      <c r="F739" s="8"/>
      <c r="G739" s="8"/>
      <c r="H739" s="8"/>
      <c r="I739" s="8" t="s">
        <v>9</v>
      </c>
      <c r="J739" s="8"/>
      <c r="K739" s="8"/>
      <c r="L739" s="8"/>
      <c r="M739" s="8" t="s">
        <v>10</v>
      </c>
      <c r="N739" s="8"/>
      <c r="O739" s="8"/>
      <c r="P739" s="8"/>
      <c r="Q739" s="8" t="s">
        <v>11</v>
      </c>
      <c r="R739" s="8"/>
      <c r="S739" s="8"/>
      <c r="T739" s="8"/>
      <c r="U739" s="8" t="s">
        <v>12</v>
      </c>
      <c r="V739" s="8"/>
      <c r="W739" s="8"/>
      <c r="X739" s="8"/>
      <c r="Y739" s="8" t="s">
        <v>13</v>
      </c>
      <c r="Z739" s="8"/>
      <c r="AA739" s="8"/>
      <c r="AB739" s="8"/>
      <c r="AC739" s="8" t="s">
        <v>14</v>
      </c>
      <c r="AD739" s="8"/>
      <c r="AE739" s="8"/>
      <c r="AF739" s="8"/>
      <c r="AG739" s="8" t="s">
        <v>15</v>
      </c>
      <c r="AH739" s="8"/>
      <c r="AI739" s="8"/>
      <c r="AJ739" s="8"/>
      <c r="AK739" s="8" t="s">
        <v>16</v>
      </c>
      <c r="AL739" s="8"/>
      <c r="AM739" s="8"/>
      <c r="AN739" s="8"/>
      <c r="AO739" s="8" t="s">
        <v>17</v>
      </c>
      <c r="AP739" s="8"/>
      <c r="AQ739" s="8"/>
      <c r="AR739" s="10"/>
    </row>
    <row r="740" spans="2:52" ht="15.75" thickBot="1" x14ac:dyDescent="0.3">
      <c r="B740" s="4" t="s">
        <v>19</v>
      </c>
      <c r="C740" s="5"/>
      <c r="D740" s="6"/>
      <c r="E740" s="7">
        <v>46007</v>
      </c>
      <c r="F740" s="8"/>
      <c r="G740" s="8"/>
      <c r="H740" s="8"/>
      <c r="I740" s="9">
        <v>46025</v>
      </c>
      <c r="J740" s="8"/>
      <c r="K740" s="8"/>
      <c r="L740" s="8"/>
      <c r="M740" s="9">
        <v>46038</v>
      </c>
      <c r="N740" s="8"/>
      <c r="O740" s="8"/>
      <c r="P740" s="8"/>
      <c r="Q740" s="9">
        <v>46054</v>
      </c>
      <c r="R740" s="8"/>
      <c r="S740" s="8"/>
      <c r="T740" s="8"/>
      <c r="U740" s="9">
        <v>46069</v>
      </c>
      <c r="V740" s="8"/>
      <c r="W740" s="8"/>
      <c r="X740" s="8"/>
      <c r="Y740" s="9"/>
      <c r="Z740" s="8"/>
      <c r="AA740" s="8"/>
      <c r="AB740" s="8"/>
      <c r="AC740" s="9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10"/>
    </row>
    <row r="741" spans="2:52" ht="15.75" thickBot="1" x14ac:dyDescent="0.3">
      <c r="E741" s="11">
        <v>370</v>
      </c>
      <c r="F741" s="12"/>
      <c r="G741" s="12"/>
      <c r="H741" s="12"/>
      <c r="I741" s="12">
        <v>370</v>
      </c>
      <c r="J741" s="12"/>
      <c r="K741" s="12"/>
      <c r="L741" s="12"/>
      <c r="M741" s="12">
        <v>370</v>
      </c>
      <c r="N741" s="12"/>
      <c r="O741" s="12"/>
      <c r="P741" s="12"/>
      <c r="Q741" s="12">
        <v>370</v>
      </c>
      <c r="R741" s="12"/>
      <c r="S741" s="12"/>
      <c r="T741" s="12"/>
      <c r="U741" s="12">
        <v>370</v>
      </c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3"/>
    </row>
    <row r="743" spans="2:52" ht="15.75" thickBot="1" x14ac:dyDescent="0.3"/>
    <row r="744" spans="2:52" ht="15.75" thickBot="1" x14ac:dyDescent="0.3">
      <c r="C744" s="1">
        <v>92</v>
      </c>
      <c r="D744" s="14" t="s">
        <v>3</v>
      </c>
      <c r="E744" s="14"/>
      <c r="F744" s="14"/>
      <c r="G744" s="15" t="s">
        <v>4</v>
      </c>
      <c r="H744" s="15"/>
      <c r="I744" s="15"/>
      <c r="J744" s="15"/>
      <c r="K744" s="15"/>
      <c r="L744" s="15"/>
      <c r="M744" s="15" t="s">
        <v>5</v>
      </c>
      <c r="N744" s="15"/>
      <c r="AJ744" s="16" t="s">
        <v>6</v>
      </c>
      <c r="AK744" s="17"/>
      <c r="AL744" s="17"/>
      <c r="AM744" s="17"/>
      <c r="AO744" s="18" t="s">
        <v>7</v>
      </c>
      <c r="AP744" s="8"/>
      <c r="AQ744" s="8"/>
      <c r="AR744" s="8"/>
      <c r="AU744" s="19" t="s">
        <v>20</v>
      </c>
      <c r="AV744" s="20"/>
      <c r="AW744" s="20"/>
      <c r="AX744" s="20"/>
      <c r="AY744" s="20"/>
      <c r="AZ744" s="21"/>
    </row>
    <row r="745" spans="2:52" ht="15.75" thickBot="1" x14ac:dyDescent="0.3">
      <c r="D745" s="22">
        <v>6070</v>
      </c>
      <c r="E745" s="23"/>
      <c r="F745" s="24"/>
      <c r="G745" s="25">
        <v>46025</v>
      </c>
      <c r="H745" s="26"/>
      <c r="I745" s="26"/>
      <c r="J745" s="26"/>
      <c r="K745" s="26"/>
      <c r="L745" s="27"/>
      <c r="M745" s="28">
        <v>5</v>
      </c>
      <c r="N745" s="28"/>
      <c r="AJ745" s="29">
        <v>1070</v>
      </c>
      <c r="AK745" s="30"/>
      <c r="AL745" s="30"/>
      <c r="AM745" s="30"/>
      <c r="AO745" s="31">
        <f>AJ745-E749-I749-M749-Q749-U749-Y749-AC749-AG749-AK749-AO749</f>
        <v>428</v>
      </c>
      <c r="AP745" s="32"/>
      <c r="AQ745" s="32"/>
      <c r="AR745" s="32"/>
      <c r="AU745" s="33" t="s">
        <v>21</v>
      </c>
      <c r="AV745" s="34"/>
      <c r="AW745" s="34"/>
      <c r="AX745" s="34" t="s">
        <v>22</v>
      </c>
      <c r="AY745" s="34"/>
      <c r="AZ745" s="35"/>
    </row>
    <row r="746" spans="2:52" ht="15.75" thickBot="1" x14ac:dyDescent="0.3">
      <c r="AU746" s="36">
        <v>1</v>
      </c>
      <c r="AV746" s="37"/>
      <c r="AW746" s="37"/>
      <c r="AX746" s="37">
        <v>5</v>
      </c>
      <c r="AY746" s="37"/>
      <c r="AZ746" s="38"/>
    </row>
    <row r="747" spans="2:52" ht="15.75" thickBot="1" x14ac:dyDescent="0.3">
      <c r="E747" s="18" t="s">
        <v>8</v>
      </c>
      <c r="F747" s="8"/>
      <c r="G747" s="8"/>
      <c r="H747" s="8"/>
      <c r="I747" s="8" t="s">
        <v>9</v>
      </c>
      <c r="J747" s="8"/>
      <c r="K747" s="8"/>
      <c r="L747" s="8"/>
      <c r="M747" s="8" t="s">
        <v>10</v>
      </c>
      <c r="N747" s="8"/>
      <c r="O747" s="8"/>
      <c r="P747" s="8"/>
      <c r="Q747" s="8" t="s">
        <v>11</v>
      </c>
      <c r="R747" s="8"/>
      <c r="S747" s="8"/>
      <c r="T747" s="8"/>
      <c r="U747" s="8" t="s">
        <v>12</v>
      </c>
      <c r="V747" s="8"/>
      <c r="W747" s="8"/>
      <c r="X747" s="8"/>
      <c r="Y747" s="8" t="s">
        <v>13</v>
      </c>
      <c r="Z747" s="8"/>
      <c r="AA747" s="8"/>
      <c r="AB747" s="8"/>
      <c r="AC747" s="8" t="s">
        <v>14</v>
      </c>
      <c r="AD747" s="8"/>
      <c r="AE747" s="8"/>
      <c r="AF747" s="8"/>
      <c r="AG747" s="8" t="s">
        <v>15</v>
      </c>
      <c r="AH747" s="8"/>
      <c r="AI747" s="8"/>
      <c r="AJ747" s="8"/>
      <c r="AK747" s="8" t="s">
        <v>16</v>
      </c>
      <c r="AL747" s="8"/>
      <c r="AM747" s="8"/>
      <c r="AN747" s="8"/>
      <c r="AO747" s="8" t="s">
        <v>17</v>
      </c>
      <c r="AP747" s="8"/>
      <c r="AQ747" s="8"/>
      <c r="AR747" s="10"/>
    </row>
    <row r="748" spans="2:52" ht="15.75" thickBot="1" x14ac:dyDescent="0.3">
      <c r="B748" s="4" t="s">
        <v>19</v>
      </c>
      <c r="C748" s="5"/>
      <c r="D748" s="6"/>
      <c r="E748" s="7">
        <v>46038</v>
      </c>
      <c r="F748" s="8"/>
      <c r="G748" s="8"/>
      <c r="H748" s="8"/>
      <c r="I748" s="9">
        <v>46054</v>
      </c>
      <c r="J748" s="8"/>
      <c r="K748" s="8"/>
      <c r="L748" s="8"/>
      <c r="M748" s="9">
        <v>46069</v>
      </c>
      <c r="N748" s="8"/>
      <c r="O748" s="8"/>
      <c r="P748" s="8"/>
      <c r="Q748" s="9"/>
      <c r="R748" s="8"/>
      <c r="S748" s="8"/>
      <c r="T748" s="8"/>
      <c r="U748" s="9"/>
      <c r="V748" s="8"/>
      <c r="W748" s="8"/>
      <c r="X748" s="8"/>
      <c r="Y748" s="9"/>
      <c r="Z748" s="8"/>
      <c r="AA748" s="8"/>
      <c r="AB748" s="8"/>
      <c r="AC748" s="9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10"/>
    </row>
    <row r="749" spans="2:52" ht="15.75" thickBot="1" x14ac:dyDescent="0.3">
      <c r="E749" s="11">
        <v>214</v>
      </c>
      <c r="F749" s="12"/>
      <c r="G749" s="12"/>
      <c r="H749" s="12"/>
      <c r="I749" s="12">
        <v>214</v>
      </c>
      <c r="J749" s="12"/>
      <c r="K749" s="12"/>
      <c r="L749" s="12"/>
      <c r="M749" s="12">
        <v>214</v>
      </c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3"/>
    </row>
    <row r="751" spans="2:52" ht="15.75" thickBot="1" x14ac:dyDescent="0.3"/>
    <row r="752" spans="2:52" ht="15.75" thickBot="1" x14ac:dyDescent="0.3">
      <c r="D752" s="15" t="s">
        <v>3</v>
      </c>
      <c r="E752" s="15"/>
      <c r="F752" s="15"/>
      <c r="G752" s="15" t="s">
        <v>4</v>
      </c>
      <c r="H752" s="15"/>
      <c r="I752" s="15"/>
      <c r="J752" s="15"/>
      <c r="K752" s="15"/>
      <c r="L752" s="15"/>
      <c r="M752" s="15" t="s">
        <v>5</v>
      </c>
      <c r="N752" s="15"/>
      <c r="AJ752" s="18" t="s">
        <v>6</v>
      </c>
      <c r="AK752" s="8"/>
      <c r="AL752" s="8"/>
      <c r="AM752" s="8"/>
      <c r="AO752" s="18" t="s">
        <v>7</v>
      </c>
      <c r="AP752" s="8"/>
      <c r="AQ752" s="8"/>
      <c r="AR752" s="8"/>
      <c r="AU752" s="19" t="s">
        <v>20</v>
      </c>
      <c r="AV752" s="20"/>
      <c r="AW752" s="20"/>
      <c r="AX752" s="20"/>
      <c r="AY752" s="20"/>
      <c r="AZ752" s="21"/>
    </row>
    <row r="753" spans="2:52" ht="15.75" thickBot="1" x14ac:dyDescent="0.3">
      <c r="D753" s="50"/>
      <c r="E753" s="51"/>
      <c r="F753" s="52"/>
      <c r="G753" s="25"/>
      <c r="H753" s="26"/>
      <c r="I753" s="26"/>
      <c r="J753" s="26"/>
      <c r="K753" s="26"/>
      <c r="L753" s="27"/>
      <c r="M753" s="28"/>
      <c r="N753" s="28"/>
      <c r="AJ753" s="11"/>
      <c r="AK753" s="12"/>
      <c r="AL753" s="12"/>
      <c r="AM753" s="12"/>
      <c r="AO753" s="31">
        <f>AJ753-E757-I757-M757-Q757-U757-Y757-AC757-AG757-AK757-AO757</f>
        <v>0</v>
      </c>
      <c r="AP753" s="32"/>
      <c r="AQ753" s="32"/>
      <c r="AR753" s="32"/>
      <c r="AU753" s="33" t="s">
        <v>21</v>
      </c>
      <c r="AV753" s="34"/>
      <c r="AW753" s="34"/>
      <c r="AX753" s="34" t="s">
        <v>22</v>
      </c>
      <c r="AY753" s="34"/>
      <c r="AZ753" s="35"/>
    </row>
    <row r="754" spans="2:52" ht="15.75" thickBot="1" x14ac:dyDescent="0.3">
      <c r="AU754" s="36"/>
      <c r="AV754" s="37"/>
      <c r="AW754" s="37"/>
      <c r="AX754" s="37"/>
      <c r="AY754" s="37"/>
      <c r="AZ754" s="38"/>
    </row>
    <row r="755" spans="2:52" ht="15.75" thickBot="1" x14ac:dyDescent="0.3">
      <c r="E755" s="18" t="s">
        <v>8</v>
      </c>
      <c r="F755" s="8"/>
      <c r="G755" s="8"/>
      <c r="H755" s="8"/>
      <c r="I755" s="8" t="s">
        <v>9</v>
      </c>
      <c r="J755" s="8"/>
      <c r="K755" s="8"/>
      <c r="L755" s="8"/>
      <c r="M755" s="8" t="s">
        <v>10</v>
      </c>
      <c r="N755" s="8"/>
      <c r="O755" s="8"/>
      <c r="P755" s="8"/>
      <c r="Q755" s="8" t="s">
        <v>11</v>
      </c>
      <c r="R755" s="8"/>
      <c r="S755" s="8"/>
      <c r="T755" s="8"/>
      <c r="U755" s="8" t="s">
        <v>12</v>
      </c>
      <c r="V755" s="8"/>
      <c r="W755" s="8"/>
      <c r="X755" s="8"/>
      <c r="Y755" s="8" t="s">
        <v>13</v>
      </c>
      <c r="Z755" s="8"/>
      <c r="AA755" s="8"/>
      <c r="AB755" s="8"/>
      <c r="AC755" s="8" t="s">
        <v>14</v>
      </c>
      <c r="AD755" s="8"/>
      <c r="AE755" s="8"/>
      <c r="AF755" s="8"/>
      <c r="AG755" s="8" t="s">
        <v>15</v>
      </c>
      <c r="AH755" s="8"/>
      <c r="AI755" s="8"/>
      <c r="AJ755" s="8"/>
      <c r="AK755" s="8" t="s">
        <v>16</v>
      </c>
      <c r="AL755" s="8"/>
      <c r="AM755" s="8"/>
      <c r="AN755" s="8"/>
      <c r="AO755" s="8" t="s">
        <v>17</v>
      </c>
      <c r="AP755" s="8"/>
      <c r="AQ755" s="8"/>
      <c r="AR755" s="10"/>
    </row>
    <row r="756" spans="2:52" ht="15.75" thickBot="1" x14ac:dyDescent="0.3">
      <c r="B756" s="4" t="s">
        <v>19</v>
      </c>
      <c r="C756" s="5"/>
      <c r="D756" s="6"/>
      <c r="E756" s="7"/>
      <c r="F756" s="8"/>
      <c r="G756" s="8"/>
      <c r="H756" s="8"/>
      <c r="I756" s="9"/>
      <c r="J756" s="8"/>
      <c r="K756" s="8"/>
      <c r="L756" s="8"/>
      <c r="M756" s="9"/>
      <c r="N756" s="8"/>
      <c r="O756" s="8"/>
      <c r="P756" s="8"/>
      <c r="Q756" s="9"/>
      <c r="R756" s="8"/>
      <c r="S756" s="8"/>
      <c r="T756" s="8"/>
      <c r="U756" s="9"/>
      <c r="V756" s="8"/>
      <c r="W756" s="8"/>
      <c r="X756" s="8"/>
      <c r="Y756" s="9"/>
      <c r="Z756" s="8"/>
      <c r="AA756" s="8"/>
      <c r="AB756" s="8"/>
      <c r="AC756" s="9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10"/>
    </row>
    <row r="757" spans="2:52" ht="15.75" thickBot="1" x14ac:dyDescent="0.3">
      <c r="E757" s="11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3"/>
    </row>
  </sheetData>
  <mergeCells count="4332">
    <mergeCell ref="B756:D756"/>
    <mergeCell ref="E756:H756"/>
    <mergeCell ref="I756:L756"/>
    <mergeCell ref="M756:P756"/>
    <mergeCell ref="Q756:T756"/>
    <mergeCell ref="U756:X756"/>
    <mergeCell ref="Y756:AB756"/>
    <mergeCell ref="AC756:AF756"/>
    <mergeCell ref="AG756:AJ756"/>
    <mergeCell ref="AK756:AN756"/>
    <mergeCell ref="AO756:AR756"/>
    <mergeCell ref="E757:H757"/>
    <mergeCell ref="I757:L757"/>
    <mergeCell ref="M757:P757"/>
    <mergeCell ref="Q757:T757"/>
    <mergeCell ref="U757:X757"/>
    <mergeCell ref="Y757:AB757"/>
    <mergeCell ref="AC757:AF757"/>
    <mergeCell ref="AG757:AJ757"/>
    <mergeCell ref="AK757:AN757"/>
    <mergeCell ref="AO757:AR757"/>
    <mergeCell ref="D752:F752"/>
    <mergeCell ref="G752:L752"/>
    <mergeCell ref="M752:N752"/>
    <mergeCell ref="AJ752:AM752"/>
    <mergeCell ref="AO752:AR752"/>
    <mergeCell ref="AU752:AZ752"/>
    <mergeCell ref="D753:F753"/>
    <mergeCell ref="G753:L753"/>
    <mergeCell ref="M753:N753"/>
    <mergeCell ref="AJ753:AM753"/>
    <mergeCell ref="AO753:AR753"/>
    <mergeCell ref="AU753:AW753"/>
    <mergeCell ref="AX753:AZ753"/>
    <mergeCell ref="AU754:AW754"/>
    <mergeCell ref="AX754:AZ754"/>
    <mergeCell ref="E755:H755"/>
    <mergeCell ref="I755:L755"/>
    <mergeCell ref="M755:P755"/>
    <mergeCell ref="Q755:T755"/>
    <mergeCell ref="U755:X755"/>
    <mergeCell ref="Y755:AB755"/>
    <mergeCell ref="AC755:AF755"/>
    <mergeCell ref="AG755:AJ755"/>
    <mergeCell ref="AK755:AN755"/>
    <mergeCell ref="AO755:AR755"/>
    <mergeCell ref="B748:D748"/>
    <mergeCell ref="E748:H748"/>
    <mergeCell ref="I748:L748"/>
    <mergeCell ref="M748:P748"/>
    <mergeCell ref="Q748:T748"/>
    <mergeCell ref="U748:X748"/>
    <mergeCell ref="Y748:AB748"/>
    <mergeCell ref="AC748:AF748"/>
    <mergeCell ref="AG748:AJ748"/>
    <mergeCell ref="AK748:AN748"/>
    <mergeCell ref="AO748:AR748"/>
    <mergeCell ref="E749:H749"/>
    <mergeCell ref="I749:L749"/>
    <mergeCell ref="M749:P749"/>
    <mergeCell ref="Q749:T749"/>
    <mergeCell ref="U749:X749"/>
    <mergeCell ref="Y749:AB749"/>
    <mergeCell ref="AC749:AF749"/>
    <mergeCell ref="AG749:AJ749"/>
    <mergeCell ref="AK749:AN749"/>
    <mergeCell ref="AO749:AR749"/>
    <mergeCell ref="D744:F744"/>
    <mergeCell ref="G744:L744"/>
    <mergeCell ref="M744:N744"/>
    <mergeCell ref="AJ744:AM744"/>
    <mergeCell ref="AO744:AR744"/>
    <mergeCell ref="AU744:AZ744"/>
    <mergeCell ref="D745:F745"/>
    <mergeCell ref="G745:L745"/>
    <mergeCell ref="M745:N745"/>
    <mergeCell ref="AJ745:AM745"/>
    <mergeCell ref="AO745:AR745"/>
    <mergeCell ref="AU745:AW745"/>
    <mergeCell ref="AX745:AZ745"/>
    <mergeCell ref="AU746:AW746"/>
    <mergeCell ref="AX746:AZ746"/>
    <mergeCell ref="E747:H747"/>
    <mergeCell ref="I747:L747"/>
    <mergeCell ref="M747:P747"/>
    <mergeCell ref="Q747:T747"/>
    <mergeCell ref="U747:X747"/>
    <mergeCell ref="Y747:AB747"/>
    <mergeCell ref="AC747:AF747"/>
    <mergeCell ref="AG747:AJ747"/>
    <mergeCell ref="AK747:AN747"/>
    <mergeCell ref="AO747:AR747"/>
    <mergeCell ref="B684:D684"/>
    <mergeCell ref="E684:H684"/>
    <mergeCell ref="I684:L684"/>
    <mergeCell ref="M684:P684"/>
    <mergeCell ref="Q684:T684"/>
    <mergeCell ref="U684:X684"/>
    <mergeCell ref="Y684:AB684"/>
    <mergeCell ref="AC684:AF684"/>
    <mergeCell ref="AG684:AJ684"/>
    <mergeCell ref="AK684:AN684"/>
    <mergeCell ref="AO684:AR684"/>
    <mergeCell ref="E685:H685"/>
    <mergeCell ref="I685:L685"/>
    <mergeCell ref="M685:P685"/>
    <mergeCell ref="Q685:T685"/>
    <mergeCell ref="U685:X685"/>
    <mergeCell ref="Y685:AB685"/>
    <mergeCell ref="AC685:AF685"/>
    <mergeCell ref="AG685:AJ685"/>
    <mergeCell ref="AK685:AN685"/>
    <mergeCell ref="AO685:AR685"/>
    <mergeCell ref="D680:F680"/>
    <mergeCell ref="G680:L680"/>
    <mergeCell ref="M680:N680"/>
    <mergeCell ref="AJ680:AM680"/>
    <mergeCell ref="AO680:AR680"/>
    <mergeCell ref="AU680:AZ680"/>
    <mergeCell ref="D681:F681"/>
    <mergeCell ref="G681:L681"/>
    <mergeCell ref="M681:N681"/>
    <mergeCell ref="AJ681:AM681"/>
    <mergeCell ref="AO681:AR681"/>
    <mergeCell ref="AU681:AW681"/>
    <mergeCell ref="AX681:AZ681"/>
    <mergeCell ref="AU682:AW682"/>
    <mergeCell ref="AX682:AZ682"/>
    <mergeCell ref="E683:H683"/>
    <mergeCell ref="I683:L683"/>
    <mergeCell ref="M683:P683"/>
    <mergeCell ref="Q683:T683"/>
    <mergeCell ref="U683:X683"/>
    <mergeCell ref="Y683:AB683"/>
    <mergeCell ref="AC683:AF683"/>
    <mergeCell ref="AG683:AJ683"/>
    <mergeCell ref="AK683:AN683"/>
    <mergeCell ref="AO683:AR683"/>
    <mergeCell ref="B676:D676"/>
    <mergeCell ref="E676:H676"/>
    <mergeCell ref="I676:L676"/>
    <mergeCell ref="M676:P676"/>
    <mergeCell ref="Q676:T676"/>
    <mergeCell ref="U676:X676"/>
    <mergeCell ref="Y676:AB676"/>
    <mergeCell ref="AC676:AF676"/>
    <mergeCell ref="AG676:AJ676"/>
    <mergeCell ref="AK676:AN676"/>
    <mergeCell ref="AO676:AR676"/>
    <mergeCell ref="E677:H677"/>
    <mergeCell ref="I677:L677"/>
    <mergeCell ref="M677:P677"/>
    <mergeCell ref="Q677:T677"/>
    <mergeCell ref="U677:X677"/>
    <mergeCell ref="Y677:AB677"/>
    <mergeCell ref="AC677:AF677"/>
    <mergeCell ref="AG677:AJ677"/>
    <mergeCell ref="AK677:AN677"/>
    <mergeCell ref="AO677:AR677"/>
    <mergeCell ref="D672:F672"/>
    <mergeCell ref="G672:L672"/>
    <mergeCell ref="M672:N672"/>
    <mergeCell ref="AJ672:AM672"/>
    <mergeCell ref="AO672:AR672"/>
    <mergeCell ref="AU672:AZ672"/>
    <mergeCell ref="D673:F673"/>
    <mergeCell ref="G673:L673"/>
    <mergeCell ref="M673:N673"/>
    <mergeCell ref="AJ673:AM673"/>
    <mergeCell ref="AO673:AR673"/>
    <mergeCell ref="AU673:AW673"/>
    <mergeCell ref="AX673:AZ673"/>
    <mergeCell ref="AU674:AW674"/>
    <mergeCell ref="AX674:AZ674"/>
    <mergeCell ref="E675:H675"/>
    <mergeCell ref="I675:L675"/>
    <mergeCell ref="M675:P675"/>
    <mergeCell ref="Q675:T675"/>
    <mergeCell ref="U675:X675"/>
    <mergeCell ref="Y675:AB675"/>
    <mergeCell ref="AC675:AF675"/>
    <mergeCell ref="AG675:AJ675"/>
    <mergeCell ref="AK675:AN675"/>
    <mergeCell ref="AO675:AR675"/>
    <mergeCell ref="B668:D668"/>
    <mergeCell ref="E668:H668"/>
    <mergeCell ref="I668:L668"/>
    <mergeCell ref="M668:P668"/>
    <mergeCell ref="Q668:T668"/>
    <mergeCell ref="U668:X668"/>
    <mergeCell ref="Y668:AB668"/>
    <mergeCell ref="AC668:AF668"/>
    <mergeCell ref="AG668:AJ668"/>
    <mergeCell ref="AK668:AN668"/>
    <mergeCell ref="AO668:AR668"/>
    <mergeCell ref="E669:H669"/>
    <mergeCell ref="I669:L669"/>
    <mergeCell ref="M669:P669"/>
    <mergeCell ref="Q669:T669"/>
    <mergeCell ref="U669:X669"/>
    <mergeCell ref="Y669:AB669"/>
    <mergeCell ref="AC669:AF669"/>
    <mergeCell ref="AG669:AJ669"/>
    <mergeCell ref="AK669:AN669"/>
    <mergeCell ref="AO669:AR669"/>
    <mergeCell ref="D664:F664"/>
    <mergeCell ref="G664:L664"/>
    <mergeCell ref="M664:N664"/>
    <mergeCell ref="AJ664:AM664"/>
    <mergeCell ref="AO664:AR664"/>
    <mergeCell ref="AU664:AZ664"/>
    <mergeCell ref="D665:F665"/>
    <mergeCell ref="G665:L665"/>
    <mergeCell ref="M665:N665"/>
    <mergeCell ref="AJ665:AM665"/>
    <mergeCell ref="AO665:AR665"/>
    <mergeCell ref="AU665:AW665"/>
    <mergeCell ref="AX665:AZ665"/>
    <mergeCell ref="AU666:AW666"/>
    <mergeCell ref="AX666:AZ666"/>
    <mergeCell ref="E667:H667"/>
    <mergeCell ref="I667:L667"/>
    <mergeCell ref="M667:P667"/>
    <mergeCell ref="Q667:T667"/>
    <mergeCell ref="U667:X667"/>
    <mergeCell ref="Y667:AB667"/>
    <mergeCell ref="AC667:AF667"/>
    <mergeCell ref="AG667:AJ667"/>
    <mergeCell ref="AK667:AN667"/>
    <mergeCell ref="AO667:AR667"/>
    <mergeCell ref="B660:D660"/>
    <mergeCell ref="E660:H660"/>
    <mergeCell ref="I660:L660"/>
    <mergeCell ref="M660:P660"/>
    <mergeCell ref="Q660:T660"/>
    <mergeCell ref="U660:X660"/>
    <mergeCell ref="Y660:AB660"/>
    <mergeCell ref="AC660:AF660"/>
    <mergeCell ref="AG660:AJ660"/>
    <mergeCell ref="AK660:AN660"/>
    <mergeCell ref="AO660:AR660"/>
    <mergeCell ref="E661:H661"/>
    <mergeCell ref="I661:L661"/>
    <mergeCell ref="M661:P661"/>
    <mergeCell ref="Q661:T661"/>
    <mergeCell ref="U661:X661"/>
    <mergeCell ref="Y661:AB661"/>
    <mergeCell ref="AC661:AF661"/>
    <mergeCell ref="AG661:AJ661"/>
    <mergeCell ref="AK661:AN661"/>
    <mergeCell ref="AO661:AR661"/>
    <mergeCell ref="D656:F656"/>
    <mergeCell ref="G656:L656"/>
    <mergeCell ref="M656:N656"/>
    <mergeCell ref="AJ656:AM656"/>
    <mergeCell ref="AO656:AR656"/>
    <mergeCell ref="AU656:AZ656"/>
    <mergeCell ref="D657:F657"/>
    <mergeCell ref="G657:L657"/>
    <mergeCell ref="M657:N657"/>
    <mergeCell ref="AJ657:AM657"/>
    <mergeCell ref="AO657:AR657"/>
    <mergeCell ref="AU657:AW657"/>
    <mergeCell ref="AX657:AZ657"/>
    <mergeCell ref="AU658:AW658"/>
    <mergeCell ref="AX658:AZ658"/>
    <mergeCell ref="E659:H659"/>
    <mergeCell ref="I659:L659"/>
    <mergeCell ref="M659:P659"/>
    <mergeCell ref="Q659:T659"/>
    <mergeCell ref="U659:X659"/>
    <mergeCell ref="Y659:AB659"/>
    <mergeCell ref="AC659:AF659"/>
    <mergeCell ref="AG659:AJ659"/>
    <mergeCell ref="AK659:AN659"/>
    <mergeCell ref="AO659:AR659"/>
    <mergeCell ref="B652:D652"/>
    <mergeCell ref="E652:H652"/>
    <mergeCell ref="I652:L652"/>
    <mergeCell ref="M652:P652"/>
    <mergeCell ref="Q652:T652"/>
    <mergeCell ref="U652:X652"/>
    <mergeCell ref="Y652:AB652"/>
    <mergeCell ref="AC652:AF652"/>
    <mergeCell ref="AG652:AJ652"/>
    <mergeCell ref="AK652:AN652"/>
    <mergeCell ref="AO652:AR652"/>
    <mergeCell ref="E653:H653"/>
    <mergeCell ref="I653:L653"/>
    <mergeCell ref="M653:P653"/>
    <mergeCell ref="Q653:T653"/>
    <mergeCell ref="U653:X653"/>
    <mergeCell ref="Y653:AB653"/>
    <mergeCell ref="AC653:AF653"/>
    <mergeCell ref="AG653:AJ653"/>
    <mergeCell ref="AK653:AN653"/>
    <mergeCell ref="AO653:AR653"/>
    <mergeCell ref="D648:F648"/>
    <mergeCell ref="G648:L648"/>
    <mergeCell ref="M648:N648"/>
    <mergeCell ref="AJ648:AM648"/>
    <mergeCell ref="AO648:AR648"/>
    <mergeCell ref="AU648:AZ648"/>
    <mergeCell ref="D649:F649"/>
    <mergeCell ref="G649:L649"/>
    <mergeCell ref="M649:N649"/>
    <mergeCell ref="AJ649:AM649"/>
    <mergeCell ref="AO649:AR649"/>
    <mergeCell ref="AU649:AW649"/>
    <mergeCell ref="AX649:AZ649"/>
    <mergeCell ref="AU650:AW650"/>
    <mergeCell ref="AX650:AZ650"/>
    <mergeCell ref="E651:H651"/>
    <mergeCell ref="I651:L651"/>
    <mergeCell ref="M651:P651"/>
    <mergeCell ref="Q651:T651"/>
    <mergeCell ref="U651:X651"/>
    <mergeCell ref="Y651:AB651"/>
    <mergeCell ref="AC651:AF651"/>
    <mergeCell ref="AG651:AJ651"/>
    <mergeCell ref="AK651:AN651"/>
    <mergeCell ref="AO651:AR651"/>
    <mergeCell ref="B644:D644"/>
    <mergeCell ref="E644:H644"/>
    <mergeCell ref="I644:L644"/>
    <mergeCell ref="M644:P644"/>
    <mergeCell ref="Q644:T644"/>
    <mergeCell ref="U644:X644"/>
    <mergeCell ref="Y644:AB644"/>
    <mergeCell ref="AC644:AF644"/>
    <mergeCell ref="AG644:AJ644"/>
    <mergeCell ref="AK644:AN644"/>
    <mergeCell ref="AO644:AR644"/>
    <mergeCell ref="E645:H645"/>
    <mergeCell ref="I645:L645"/>
    <mergeCell ref="M645:P645"/>
    <mergeCell ref="Q645:T645"/>
    <mergeCell ref="U645:X645"/>
    <mergeCell ref="Y645:AB645"/>
    <mergeCell ref="AC645:AF645"/>
    <mergeCell ref="AG645:AJ645"/>
    <mergeCell ref="AK645:AN645"/>
    <mergeCell ref="AO645:AR645"/>
    <mergeCell ref="D640:F640"/>
    <mergeCell ref="G640:L640"/>
    <mergeCell ref="M640:N640"/>
    <mergeCell ref="AJ640:AM640"/>
    <mergeCell ref="AO640:AR640"/>
    <mergeCell ref="AU640:AZ640"/>
    <mergeCell ref="D641:F641"/>
    <mergeCell ref="G641:L641"/>
    <mergeCell ref="M641:N641"/>
    <mergeCell ref="AJ641:AM641"/>
    <mergeCell ref="AO641:AR641"/>
    <mergeCell ref="AU641:AW641"/>
    <mergeCell ref="AX641:AZ641"/>
    <mergeCell ref="AU642:AW642"/>
    <mergeCell ref="AX642:AZ642"/>
    <mergeCell ref="E643:H643"/>
    <mergeCell ref="I643:L643"/>
    <mergeCell ref="M643:P643"/>
    <mergeCell ref="Q643:T643"/>
    <mergeCell ref="U643:X643"/>
    <mergeCell ref="Y643:AB643"/>
    <mergeCell ref="AC643:AF643"/>
    <mergeCell ref="AG643:AJ643"/>
    <mergeCell ref="AK643:AN643"/>
    <mergeCell ref="AO643:AR643"/>
    <mergeCell ref="B636:D636"/>
    <mergeCell ref="E636:H636"/>
    <mergeCell ref="I636:L636"/>
    <mergeCell ref="M636:P636"/>
    <mergeCell ref="Q636:T636"/>
    <mergeCell ref="U636:X636"/>
    <mergeCell ref="Y636:AB636"/>
    <mergeCell ref="AC636:AF636"/>
    <mergeCell ref="AG636:AJ636"/>
    <mergeCell ref="AK636:AN636"/>
    <mergeCell ref="AO636:AR636"/>
    <mergeCell ref="E637:H637"/>
    <mergeCell ref="I637:L637"/>
    <mergeCell ref="M637:P637"/>
    <mergeCell ref="Q637:T637"/>
    <mergeCell ref="U637:X637"/>
    <mergeCell ref="Y637:AB637"/>
    <mergeCell ref="AC637:AF637"/>
    <mergeCell ref="AG637:AJ637"/>
    <mergeCell ref="AK637:AN637"/>
    <mergeCell ref="AO637:AR637"/>
    <mergeCell ref="D632:F632"/>
    <mergeCell ref="G632:L632"/>
    <mergeCell ref="M632:N632"/>
    <mergeCell ref="AJ632:AM632"/>
    <mergeCell ref="AO632:AR632"/>
    <mergeCell ref="AU632:AZ632"/>
    <mergeCell ref="D633:F633"/>
    <mergeCell ref="G633:L633"/>
    <mergeCell ref="M633:N633"/>
    <mergeCell ref="AJ633:AM633"/>
    <mergeCell ref="AO633:AR633"/>
    <mergeCell ref="AU633:AW633"/>
    <mergeCell ref="AX633:AZ633"/>
    <mergeCell ref="AU634:AW634"/>
    <mergeCell ref="AX634:AZ634"/>
    <mergeCell ref="E635:H635"/>
    <mergeCell ref="I635:L635"/>
    <mergeCell ref="M635:P635"/>
    <mergeCell ref="Q635:T635"/>
    <mergeCell ref="U635:X635"/>
    <mergeCell ref="Y635:AB635"/>
    <mergeCell ref="AC635:AF635"/>
    <mergeCell ref="AG635:AJ635"/>
    <mergeCell ref="AK635:AN635"/>
    <mergeCell ref="AO635:AR635"/>
    <mergeCell ref="B628:D628"/>
    <mergeCell ref="E628:H628"/>
    <mergeCell ref="I628:L628"/>
    <mergeCell ref="M628:P628"/>
    <mergeCell ref="Q628:T628"/>
    <mergeCell ref="U628:X628"/>
    <mergeCell ref="Y628:AB628"/>
    <mergeCell ref="AC628:AF628"/>
    <mergeCell ref="AG628:AJ628"/>
    <mergeCell ref="AK628:AN628"/>
    <mergeCell ref="AO628:AR628"/>
    <mergeCell ref="E629:H629"/>
    <mergeCell ref="I629:L629"/>
    <mergeCell ref="M629:P629"/>
    <mergeCell ref="Q629:T629"/>
    <mergeCell ref="U629:X629"/>
    <mergeCell ref="Y629:AB629"/>
    <mergeCell ref="AC629:AF629"/>
    <mergeCell ref="AG629:AJ629"/>
    <mergeCell ref="AK629:AN629"/>
    <mergeCell ref="AO629:AR629"/>
    <mergeCell ref="D624:F624"/>
    <mergeCell ref="G624:L624"/>
    <mergeCell ref="M624:N624"/>
    <mergeCell ref="AJ624:AM624"/>
    <mergeCell ref="AO624:AR624"/>
    <mergeCell ref="AU624:AZ624"/>
    <mergeCell ref="D625:F625"/>
    <mergeCell ref="G625:L625"/>
    <mergeCell ref="M625:N625"/>
    <mergeCell ref="AJ625:AM625"/>
    <mergeCell ref="AO625:AR625"/>
    <mergeCell ref="AU625:AW625"/>
    <mergeCell ref="AX625:AZ625"/>
    <mergeCell ref="AU626:AW626"/>
    <mergeCell ref="AX626:AZ626"/>
    <mergeCell ref="E627:H627"/>
    <mergeCell ref="I627:L627"/>
    <mergeCell ref="M627:P627"/>
    <mergeCell ref="Q627:T627"/>
    <mergeCell ref="U627:X627"/>
    <mergeCell ref="Y627:AB627"/>
    <mergeCell ref="AC627:AF627"/>
    <mergeCell ref="AG627:AJ627"/>
    <mergeCell ref="AK627:AN627"/>
    <mergeCell ref="AO627:AR627"/>
    <mergeCell ref="B620:D620"/>
    <mergeCell ref="E620:H620"/>
    <mergeCell ref="I620:L620"/>
    <mergeCell ref="M620:P620"/>
    <mergeCell ref="Q620:T620"/>
    <mergeCell ref="U620:X620"/>
    <mergeCell ref="Y620:AB620"/>
    <mergeCell ref="AC620:AF620"/>
    <mergeCell ref="AG620:AJ620"/>
    <mergeCell ref="AK620:AN620"/>
    <mergeCell ref="AO620:AR620"/>
    <mergeCell ref="E621:H621"/>
    <mergeCell ref="I621:L621"/>
    <mergeCell ref="M621:P621"/>
    <mergeCell ref="Q621:T621"/>
    <mergeCell ref="U621:X621"/>
    <mergeCell ref="Y621:AB621"/>
    <mergeCell ref="AC621:AF621"/>
    <mergeCell ref="AG621:AJ621"/>
    <mergeCell ref="AK621:AN621"/>
    <mergeCell ref="AO621:AR621"/>
    <mergeCell ref="D616:F616"/>
    <mergeCell ref="G616:L616"/>
    <mergeCell ref="M616:N616"/>
    <mergeCell ref="AJ616:AM616"/>
    <mergeCell ref="AO616:AR616"/>
    <mergeCell ref="AU616:AZ616"/>
    <mergeCell ref="D617:F617"/>
    <mergeCell ref="G617:L617"/>
    <mergeCell ref="M617:N617"/>
    <mergeCell ref="AJ617:AM617"/>
    <mergeCell ref="AO617:AR617"/>
    <mergeCell ref="AU617:AW617"/>
    <mergeCell ref="AX617:AZ617"/>
    <mergeCell ref="AU618:AW618"/>
    <mergeCell ref="AX618:AZ618"/>
    <mergeCell ref="E619:H619"/>
    <mergeCell ref="I619:L619"/>
    <mergeCell ref="M619:P619"/>
    <mergeCell ref="Q619:T619"/>
    <mergeCell ref="U619:X619"/>
    <mergeCell ref="Y619:AB619"/>
    <mergeCell ref="AC619:AF619"/>
    <mergeCell ref="AG619:AJ619"/>
    <mergeCell ref="AK619:AN619"/>
    <mergeCell ref="AO619:AR619"/>
    <mergeCell ref="B612:D612"/>
    <mergeCell ref="E612:H612"/>
    <mergeCell ref="I612:L612"/>
    <mergeCell ref="M612:P612"/>
    <mergeCell ref="Q612:T612"/>
    <mergeCell ref="U612:X612"/>
    <mergeCell ref="Y612:AB612"/>
    <mergeCell ref="AC612:AF612"/>
    <mergeCell ref="AG612:AJ612"/>
    <mergeCell ref="AK612:AN612"/>
    <mergeCell ref="AO612:AR612"/>
    <mergeCell ref="E613:H613"/>
    <mergeCell ref="I613:L613"/>
    <mergeCell ref="M613:P613"/>
    <mergeCell ref="Q613:T613"/>
    <mergeCell ref="U613:X613"/>
    <mergeCell ref="Y613:AB613"/>
    <mergeCell ref="AC613:AF613"/>
    <mergeCell ref="AG613:AJ613"/>
    <mergeCell ref="AK613:AN613"/>
    <mergeCell ref="AO613:AR613"/>
    <mergeCell ref="D608:F608"/>
    <mergeCell ref="G608:L608"/>
    <mergeCell ref="M608:N608"/>
    <mergeCell ref="AJ608:AM608"/>
    <mergeCell ref="AO608:AR608"/>
    <mergeCell ref="AU608:AZ608"/>
    <mergeCell ref="D609:F609"/>
    <mergeCell ref="G609:L609"/>
    <mergeCell ref="M609:N609"/>
    <mergeCell ref="AJ609:AM609"/>
    <mergeCell ref="AO609:AR609"/>
    <mergeCell ref="AU609:AW609"/>
    <mergeCell ref="AX609:AZ609"/>
    <mergeCell ref="AU610:AW610"/>
    <mergeCell ref="AX610:AZ610"/>
    <mergeCell ref="E611:H611"/>
    <mergeCell ref="I611:L611"/>
    <mergeCell ref="M611:P611"/>
    <mergeCell ref="Q611:T611"/>
    <mergeCell ref="U611:X611"/>
    <mergeCell ref="Y611:AB611"/>
    <mergeCell ref="AC611:AF611"/>
    <mergeCell ref="AG611:AJ611"/>
    <mergeCell ref="AK611:AN611"/>
    <mergeCell ref="AO611:AR611"/>
    <mergeCell ref="B604:D604"/>
    <mergeCell ref="E604:H604"/>
    <mergeCell ref="I604:L604"/>
    <mergeCell ref="M604:P604"/>
    <mergeCell ref="Q604:T604"/>
    <mergeCell ref="U604:X604"/>
    <mergeCell ref="Y604:AB604"/>
    <mergeCell ref="AC604:AF604"/>
    <mergeCell ref="AG604:AJ604"/>
    <mergeCell ref="AK604:AN604"/>
    <mergeCell ref="AO604:AR604"/>
    <mergeCell ref="E605:H605"/>
    <mergeCell ref="I605:L605"/>
    <mergeCell ref="M605:P605"/>
    <mergeCell ref="Q605:T605"/>
    <mergeCell ref="U605:X605"/>
    <mergeCell ref="Y605:AB605"/>
    <mergeCell ref="AC605:AF605"/>
    <mergeCell ref="AG605:AJ605"/>
    <mergeCell ref="AK605:AN605"/>
    <mergeCell ref="AO605:AR605"/>
    <mergeCell ref="D600:F600"/>
    <mergeCell ref="G600:L600"/>
    <mergeCell ref="M600:N600"/>
    <mergeCell ref="AJ600:AM600"/>
    <mergeCell ref="AO600:AR600"/>
    <mergeCell ref="AU600:AZ600"/>
    <mergeCell ref="D601:F601"/>
    <mergeCell ref="G601:L601"/>
    <mergeCell ref="M601:N601"/>
    <mergeCell ref="AJ601:AM601"/>
    <mergeCell ref="AO601:AR601"/>
    <mergeCell ref="AU601:AW601"/>
    <mergeCell ref="AX601:AZ601"/>
    <mergeCell ref="AU602:AW602"/>
    <mergeCell ref="AX602:AZ602"/>
    <mergeCell ref="E603:H603"/>
    <mergeCell ref="I603:L603"/>
    <mergeCell ref="M603:P603"/>
    <mergeCell ref="Q603:T603"/>
    <mergeCell ref="U603:X603"/>
    <mergeCell ref="Y603:AB603"/>
    <mergeCell ref="AC603:AF603"/>
    <mergeCell ref="AG603:AJ603"/>
    <mergeCell ref="AK603:AN603"/>
    <mergeCell ref="AO603:AR603"/>
    <mergeCell ref="B596:D596"/>
    <mergeCell ref="E596:H596"/>
    <mergeCell ref="I596:L596"/>
    <mergeCell ref="M596:P596"/>
    <mergeCell ref="Q596:T596"/>
    <mergeCell ref="U596:X596"/>
    <mergeCell ref="Y596:AB596"/>
    <mergeCell ref="AC596:AF596"/>
    <mergeCell ref="AG596:AJ596"/>
    <mergeCell ref="AK596:AN596"/>
    <mergeCell ref="AO596:AR596"/>
    <mergeCell ref="E597:H597"/>
    <mergeCell ref="I597:L597"/>
    <mergeCell ref="M597:P597"/>
    <mergeCell ref="Q597:T597"/>
    <mergeCell ref="U597:X597"/>
    <mergeCell ref="Y597:AB597"/>
    <mergeCell ref="AC597:AF597"/>
    <mergeCell ref="AG597:AJ597"/>
    <mergeCell ref="AK597:AN597"/>
    <mergeCell ref="AO597:AR597"/>
    <mergeCell ref="D592:F592"/>
    <mergeCell ref="G592:L592"/>
    <mergeCell ref="M592:N592"/>
    <mergeCell ref="AJ592:AM592"/>
    <mergeCell ref="AO592:AR592"/>
    <mergeCell ref="AU592:AZ592"/>
    <mergeCell ref="D593:F593"/>
    <mergeCell ref="G593:L593"/>
    <mergeCell ref="M593:N593"/>
    <mergeCell ref="AJ593:AM593"/>
    <mergeCell ref="AO593:AR593"/>
    <mergeCell ref="AU593:AW593"/>
    <mergeCell ref="AX593:AZ593"/>
    <mergeCell ref="AU594:AW594"/>
    <mergeCell ref="AX594:AZ594"/>
    <mergeCell ref="E595:H595"/>
    <mergeCell ref="I595:L595"/>
    <mergeCell ref="M595:P595"/>
    <mergeCell ref="Q595:T595"/>
    <mergeCell ref="U595:X595"/>
    <mergeCell ref="Y595:AB595"/>
    <mergeCell ref="AC595:AF595"/>
    <mergeCell ref="AG595:AJ595"/>
    <mergeCell ref="AK595:AN595"/>
    <mergeCell ref="AO595:AR595"/>
    <mergeCell ref="B588:D588"/>
    <mergeCell ref="E588:H588"/>
    <mergeCell ref="I588:L588"/>
    <mergeCell ref="M588:P588"/>
    <mergeCell ref="Q588:T588"/>
    <mergeCell ref="U588:X588"/>
    <mergeCell ref="Y588:AB588"/>
    <mergeCell ref="AC588:AF588"/>
    <mergeCell ref="AG588:AJ588"/>
    <mergeCell ref="AK588:AN588"/>
    <mergeCell ref="AO588:AR588"/>
    <mergeCell ref="E589:H589"/>
    <mergeCell ref="I589:L589"/>
    <mergeCell ref="M589:P589"/>
    <mergeCell ref="Q589:T589"/>
    <mergeCell ref="U589:X589"/>
    <mergeCell ref="Y589:AB589"/>
    <mergeCell ref="AC589:AF589"/>
    <mergeCell ref="AG589:AJ589"/>
    <mergeCell ref="AK589:AN589"/>
    <mergeCell ref="AO589:AR589"/>
    <mergeCell ref="D584:F584"/>
    <mergeCell ref="G584:L584"/>
    <mergeCell ref="M584:N584"/>
    <mergeCell ref="AJ584:AM584"/>
    <mergeCell ref="AO584:AR584"/>
    <mergeCell ref="AU584:AZ584"/>
    <mergeCell ref="D585:F585"/>
    <mergeCell ref="G585:L585"/>
    <mergeCell ref="M585:N585"/>
    <mergeCell ref="AJ585:AM585"/>
    <mergeCell ref="AO585:AR585"/>
    <mergeCell ref="AU585:AW585"/>
    <mergeCell ref="AX585:AZ585"/>
    <mergeCell ref="AU586:AW586"/>
    <mergeCell ref="AX586:AZ586"/>
    <mergeCell ref="E587:H587"/>
    <mergeCell ref="I587:L587"/>
    <mergeCell ref="M587:P587"/>
    <mergeCell ref="Q587:T587"/>
    <mergeCell ref="U587:X587"/>
    <mergeCell ref="Y587:AB587"/>
    <mergeCell ref="AC587:AF587"/>
    <mergeCell ref="AG587:AJ587"/>
    <mergeCell ref="AK587:AN587"/>
    <mergeCell ref="AO587:AR587"/>
    <mergeCell ref="B580:D580"/>
    <mergeCell ref="E580:H580"/>
    <mergeCell ref="I580:L580"/>
    <mergeCell ref="M580:P580"/>
    <mergeCell ref="Q580:T580"/>
    <mergeCell ref="U580:X580"/>
    <mergeCell ref="Y580:AB580"/>
    <mergeCell ref="AC580:AF580"/>
    <mergeCell ref="AG580:AJ580"/>
    <mergeCell ref="AK580:AN580"/>
    <mergeCell ref="AO580:AR580"/>
    <mergeCell ref="E581:H581"/>
    <mergeCell ref="I581:L581"/>
    <mergeCell ref="M581:P581"/>
    <mergeCell ref="Q581:T581"/>
    <mergeCell ref="U581:X581"/>
    <mergeCell ref="Y581:AB581"/>
    <mergeCell ref="AC581:AF581"/>
    <mergeCell ref="AG581:AJ581"/>
    <mergeCell ref="AK581:AN581"/>
    <mergeCell ref="AO581:AR581"/>
    <mergeCell ref="D576:F576"/>
    <mergeCell ref="G576:L576"/>
    <mergeCell ref="M576:N576"/>
    <mergeCell ref="AJ576:AM576"/>
    <mergeCell ref="AO576:AR576"/>
    <mergeCell ref="AU576:AZ576"/>
    <mergeCell ref="D577:F577"/>
    <mergeCell ref="G577:L577"/>
    <mergeCell ref="M577:N577"/>
    <mergeCell ref="AJ577:AM577"/>
    <mergeCell ref="AO577:AR577"/>
    <mergeCell ref="AU577:AW577"/>
    <mergeCell ref="AX577:AZ577"/>
    <mergeCell ref="AU578:AW578"/>
    <mergeCell ref="AX578:AZ578"/>
    <mergeCell ref="E579:H579"/>
    <mergeCell ref="I579:L579"/>
    <mergeCell ref="M579:P579"/>
    <mergeCell ref="Q579:T579"/>
    <mergeCell ref="U579:X579"/>
    <mergeCell ref="Y579:AB579"/>
    <mergeCell ref="AC579:AF579"/>
    <mergeCell ref="AG579:AJ579"/>
    <mergeCell ref="AK579:AN579"/>
    <mergeCell ref="AO579:AR579"/>
    <mergeCell ref="B572:D572"/>
    <mergeCell ref="E572:H572"/>
    <mergeCell ref="I572:L572"/>
    <mergeCell ref="M572:P572"/>
    <mergeCell ref="Q572:T572"/>
    <mergeCell ref="U572:X572"/>
    <mergeCell ref="Y572:AB572"/>
    <mergeCell ref="AC572:AF572"/>
    <mergeCell ref="AG572:AJ572"/>
    <mergeCell ref="AK572:AN572"/>
    <mergeCell ref="AO572:AR572"/>
    <mergeCell ref="E573:H573"/>
    <mergeCell ref="I573:L573"/>
    <mergeCell ref="M573:P573"/>
    <mergeCell ref="Q573:T573"/>
    <mergeCell ref="U573:X573"/>
    <mergeCell ref="Y573:AB573"/>
    <mergeCell ref="AC573:AF573"/>
    <mergeCell ref="AG573:AJ573"/>
    <mergeCell ref="AK573:AN573"/>
    <mergeCell ref="AO573:AR573"/>
    <mergeCell ref="D568:F568"/>
    <mergeCell ref="G568:L568"/>
    <mergeCell ref="M568:N568"/>
    <mergeCell ref="AJ568:AM568"/>
    <mergeCell ref="AO568:AR568"/>
    <mergeCell ref="AU568:AZ568"/>
    <mergeCell ref="D569:F569"/>
    <mergeCell ref="G569:L569"/>
    <mergeCell ref="M569:N569"/>
    <mergeCell ref="AJ569:AM569"/>
    <mergeCell ref="AO569:AR569"/>
    <mergeCell ref="AU569:AW569"/>
    <mergeCell ref="AX569:AZ569"/>
    <mergeCell ref="AU570:AW570"/>
    <mergeCell ref="AX570:AZ570"/>
    <mergeCell ref="E571:H571"/>
    <mergeCell ref="I571:L571"/>
    <mergeCell ref="M571:P571"/>
    <mergeCell ref="Q571:T571"/>
    <mergeCell ref="U571:X571"/>
    <mergeCell ref="Y571:AB571"/>
    <mergeCell ref="AC571:AF571"/>
    <mergeCell ref="AG571:AJ571"/>
    <mergeCell ref="AK571:AN571"/>
    <mergeCell ref="AO571:AR571"/>
    <mergeCell ref="B564:D564"/>
    <mergeCell ref="E564:H564"/>
    <mergeCell ref="I564:L564"/>
    <mergeCell ref="M564:P564"/>
    <mergeCell ref="Q564:T564"/>
    <mergeCell ref="U564:X564"/>
    <mergeCell ref="Y564:AB564"/>
    <mergeCell ref="AC564:AF564"/>
    <mergeCell ref="AG564:AJ564"/>
    <mergeCell ref="AK564:AN564"/>
    <mergeCell ref="AO564:AR564"/>
    <mergeCell ref="E565:H565"/>
    <mergeCell ref="I565:L565"/>
    <mergeCell ref="M565:P565"/>
    <mergeCell ref="Q565:T565"/>
    <mergeCell ref="U565:X565"/>
    <mergeCell ref="Y565:AB565"/>
    <mergeCell ref="AC565:AF565"/>
    <mergeCell ref="AG565:AJ565"/>
    <mergeCell ref="AK565:AN565"/>
    <mergeCell ref="AO565:AR565"/>
    <mergeCell ref="D560:F560"/>
    <mergeCell ref="G560:L560"/>
    <mergeCell ref="M560:N560"/>
    <mergeCell ref="AJ560:AM560"/>
    <mergeCell ref="AO560:AR560"/>
    <mergeCell ref="AU560:AZ560"/>
    <mergeCell ref="D561:F561"/>
    <mergeCell ref="G561:L561"/>
    <mergeCell ref="M561:N561"/>
    <mergeCell ref="AJ561:AM561"/>
    <mergeCell ref="AO561:AR561"/>
    <mergeCell ref="AU561:AW561"/>
    <mergeCell ref="AX561:AZ561"/>
    <mergeCell ref="AU562:AW562"/>
    <mergeCell ref="AX562:AZ562"/>
    <mergeCell ref="E563:H563"/>
    <mergeCell ref="I563:L563"/>
    <mergeCell ref="M563:P563"/>
    <mergeCell ref="Q563:T563"/>
    <mergeCell ref="U563:X563"/>
    <mergeCell ref="Y563:AB563"/>
    <mergeCell ref="AC563:AF563"/>
    <mergeCell ref="AG563:AJ563"/>
    <mergeCell ref="AK563:AN563"/>
    <mergeCell ref="AO563:AR563"/>
    <mergeCell ref="B556:D556"/>
    <mergeCell ref="E556:H556"/>
    <mergeCell ref="I556:L556"/>
    <mergeCell ref="M556:P556"/>
    <mergeCell ref="Q556:T556"/>
    <mergeCell ref="U556:X556"/>
    <mergeCell ref="Y556:AB556"/>
    <mergeCell ref="AC556:AF556"/>
    <mergeCell ref="AG556:AJ556"/>
    <mergeCell ref="AK556:AN556"/>
    <mergeCell ref="AO556:AR556"/>
    <mergeCell ref="E557:H557"/>
    <mergeCell ref="I557:L557"/>
    <mergeCell ref="M557:P557"/>
    <mergeCell ref="Q557:T557"/>
    <mergeCell ref="U557:X557"/>
    <mergeCell ref="Y557:AB557"/>
    <mergeCell ref="AC557:AF557"/>
    <mergeCell ref="AG557:AJ557"/>
    <mergeCell ref="AK557:AN557"/>
    <mergeCell ref="AO557:AR557"/>
    <mergeCell ref="D552:F552"/>
    <mergeCell ref="G552:L552"/>
    <mergeCell ref="M552:N552"/>
    <mergeCell ref="AJ552:AM552"/>
    <mergeCell ref="AO552:AR552"/>
    <mergeCell ref="AU552:AZ552"/>
    <mergeCell ref="D553:F553"/>
    <mergeCell ref="G553:L553"/>
    <mergeCell ref="M553:N553"/>
    <mergeCell ref="AJ553:AM553"/>
    <mergeCell ref="AO553:AR553"/>
    <mergeCell ref="AU553:AW553"/>
    <mergeCell ref="AX553:AZ553"/>
    <mergeCell ref="AU554:AW554"/>
    <mergeCell ref="AX554:AZ554"/>
    <mergeCell ref="E555:H555"/>
    <mergeCell ref="I555:L555"/>
    <mergeCell ref="M555:P555"/>
    <mergeCell ref="Q555:T555"/>
    <mergeCell ref="U555:X555"/>
    <mergeCell ref="Y555:AB555"/>
    <mergeCell ref="AC555:AF555"/>
    <mergeCell ref="AG555:AJ555"/>
    <mergeCell ref="AK555:AN555"/>
    <mergeCell ref="AO555:AR555"/>
    <mergeCell ref="B548:D548"/>
    <mergeCell ref="E548:H548"/>
    <mergeCell ref="I548:L548"/>
    <mergeCell ref="M548:P548"/>
    <mergeCell ref="Q548:T548"/>
    <mergeCell ref="U548:X548"/>
    <mergeCell ref="Y548:AB548"/>
    <mergeCell ref="AC548:AF548"/>
    <mergeCell ref="AG548:AJ548"/>
    <mergeCell ref="AK548:AN548"/>
    <mergeCell ref="AO548:AR548"/>
    <mergeCell ref="E549:H549"/>
    <mergeCell ref="I549:L549"/>
    <mergeCell ref="M549:P549"/>
    <mergeCell ref="Q549:T549"/>
    <mergeCell ref="U549:X549"/>
    <mergeCell ref="Y549:AB549"/>
    <mergeCell ref="AC549:AF549"/>
    <mergeCell ref="AG549:AJ549"/>
    <mergeCell ref="AK549:AN549"/>
    <mergeCell ref="AO549:AR549"/>
    <mergeCell ref="D544:F544"/>
    <mergeCell ref="G544:L544"/>
    <mergeCell ref="M544:N544"/>
    <mergeCell ref="AJ544:AM544"/>
    <mergeCell ref="AO544:AR544"/>
    <mergeCell ref="AU544:AZ544"/>
    <mergeCell ref="D545:F545"/>
    <mergeCell ref="G545:L545"/>
    <mergeCell ref="M545:N545"/>
    <mergeCell ref="AJ545:AM545"/>
    <mergeCell ref="AO545:AR545"/>
    <mergeCell ref="AU545:AW545"/>
    <mergeCell ref="AX545:AZ545"/>
    <mergeCell ref="AU546:AW546"/>
    <mergeCell ref="AX546:AZ546"/>
    <mergeCell ref="E547:H547"/>
    <mergeCell ref="I547:L547"/>
    <mergeCell ref="M547:P547"/>
    <mergeCell ref="Q547:T547"/>
    <mergeCell ref="U547:X547"/>
    <mergeCell ref="Y547:AB547"/>
    <mergeCell ref="AC547:AF547"/>
    <mergeCell ref="AG547:AJ547"/>
    <mergeCell ref="AK547:AN547"/>
    <mergeCell ref="AO547:AR547"/>
    <mergeCell ref="B540:D540"/>
    <mergeCell ref="E540:H540"/>
    <mergeCell ref="I540:L540"/>
    <mergeCell ref="M540:P540"/>
    <mergeCell ref="Q540:T540"/>
    <mergeCell ref="U540:X540"/>
    <mergeCell ref="Y540:AB540"/>
    <mergeCell ref="AC540:AF540"/>
    <mergeCell ref="AG540:AJ540"/>
    <mergeCell ref="AK540:AN540"/>
    <mergeCell ref="AO540:AR540"/>
    <mergeCell ref="E541:H541"/>
    <mergeCell ref="I541:L541"/>
    <mergeCell ref="M541:P541"/>
    <mergeCell ref="Q541:T541"/>
    <mergeCell ref="U541:X541"/>
    <mergeCell ref="Y541:AB541"/>
    <mergeCell ref="AC541:AF541"/>
    <mergeCell ref="AG541:AJ541"/>
    <mergeCell ref="AK541:AN541"/>
    <mergeCell ref="AO541:AR541"/>
    <mergeCell ref="D536:F536"/>
    <mergeCell ref="G536:L536"/>
    <mergeCell ref="M536:N536"/>
    <mergeCell ref="AJ536:AM536"/>
    <mergeCell ref="AO536:AR536"/>
    <mergeCell ref="AU536:AZ536"/>
    <mergeCell ref="D537:F537"/>
    <mergeCell ref="G537:L537"/>
    <mergeCell ref="M537:N537"/>
    <mergeCell ref="AJ537:AM537"/>
    <mergeCell ref="AO537:AR537"/>
    <mergeCell ref="AU537:AW537"/>
    <mergeCell ref="AX537:AZ537"/>
    <mergeCell ref="AU538:AW538"/>
    <mergeCell ref="AX538:AZ538"/>
    <mergeCell ref="E539:H539"/>
    <mergeCell ref="I539:L539"/>
    <mergeCell ref="M539:P539"/>
    <mergeCell ref="Q539:T539"/>
    <mergeCell ref="U539:X539"/>
    <mergeCell ref="Y539:AB539"/>
    <mergeCell ref="AC539:AF539"/>
    <mergeCell ref="AG539:AJ539"/>
    <mergeCell ref="AK539:AN539"/>
    <mergeCell ref="AO539:AR539"/>
    <mergeCell ref="B435:D435"/>
    <mergeCell ref="E435:H435"/>
    <mergeCell ref="I435:L435"/>
    <mergeCell ref="M435:P435"/>
    <mergeCell ref="Q435:T435"/>
    <mergeCell ref="U435:X435"/>
    <mergeCell ref="Y435:AB435"/>
    <mergeCell ref="AC435:AF435"/>
    <mergeCell ref="AG435:AJ435"/>
    <mergeCell ref="AK435:AN435"/>
    <mergeCell ref="AO435:AR435"/>
    <mergeCell ref="E436:H436"/>
    <mergeCell ref="I436:L436"/>
    <mergeCell ref="M436:P436"/>
    <mergeCell ref="Q436:T436"/>
    <mergeCell ref="U436:X436"/>
    <mergeCell ref="Y436:AB436"/>
    <mergeCell ref="AC436:AF436"/>
    <mergeCell ref="AG436:AJ436"/>
    <mergeCell ref="AK436:AN436"/>
    <mergeCell ref="AO436:AR436"/>
    <mergeCell ref="D431:F431"/>
    <mergeCell ref="G431:L431"/>
    <mergeCell ref="M431:N431"/>
    <mergeCell ref="AJ431:AM431"/>
    <mergeCell ref="AO431:AR431"/>
    <mergeCell ref="AU431:AZ431"/>
    <mergeCell ref="D432:F432"/>
    <mergeCell ref="G432:L432"/>
    <mergeCell ref="M432:N432"/>
    <mergeCell ref="AJ432:AM432"/>
    <mergeCell ref="AO432:AR432"/>
    <mergeCell ref="AU432:AW432"/>
    <mergeCell ref="AX432:AZ432"/>
    <mergeCell ref="AU433:AW433"/>
    <mergeCell ref="AX433:AZ433"/>
    <mergeCell ref="E434:H434"/>
    <mergeCell ref="I434:L434"/>
    <mergeCell ref="M434:P434"/>
    <mergeCell ref="Q434:T434"/>
    <mergeCell ref="U434:X434"/>
    <mergeCell ref="Y434:AB434"/>
    <mergeCell ref="AC434:AF434"/>
    <mergeCell ref="AG434:AJ434"/>
    <mergeCell ref="AK434:AN434"/>
    <mergeCell ref="AO434:AR434"/>
    <mergeCell ref="B427:D427"/>
    <mergeCell ref="E427:H427"/>
    <mergeCell ref="I427:L427"/>
    <mergeCell ref="M427:P427"/>
    <mergeCell ref="Q427:T427"/>
    <mergeCell ref="U427:X427"/>
    <mergeCell ref="Y427:AB427"/>
    <mergeCell ref="AC427:AF427"/>
    <mergeCell ref="AG427:AJ427"/>
    <mergeCell ref="AK427:AN427"/>
    <mergeCell ref="AO427:AR427"/>
    <mergeCell ref="E428:H428"/>
    <mergeCell ref="I428:L428"/>
    <mergeCell ref="M428:P428"/>
    <mergeCell ref="Q428:T428"/>
    <mergeCell ref="U428:X428"/>
    <mergeCell ref="Y428:AB428"/>
    <mergeCell ref="AC428:AF428"/>
    <mergeCell ref="AG428:AJ428"/>
    <mergeCell ref="AK428:AN428"/>
    <mergeCell ref="AO428:AR428"/>
    <mergeCell ref="D423:F423"/>
    <mergeCell ref="G423:L423"/>
    <mergeCell ref="M423:N423"/>
    <mergeCell ref="AJ423:AM423"/>
    <mergeCell ref="AO423:AR423"/>
    <mergeCell ref="AU423:AZ423"/>
    <mergeCell ref="D424:F424"/>
    <mergeCell ref="G424:L424"/>
    <mergeCell ref="M424:N424"/>
    <mergeCell ref="AJ424:AM424"/>
    <mergeCell ref="AO424:AR424"/>
    <mergeCell ref="AU424:AW424"/>
    <mergeCell ref="AX424:AZ424"/>
    <mergeCell ref="AU425:AW425"/>
    <mergeCell ref="AX425:AZ425"/>
    <mergeCell ref="E426:H426"/>
    <mergeCell ref="I426:L426"/>
    <mergeCell ref="M426:P426"/>
    <mergeCell ref="Q426:T426"/>
    <mergeCell ref="U426:X426"/>
    <mergeCell ref="Y426:AB426"/>
    <mergeCell ref="AC426:AF426"/>
    <mergeCell ref="AG426:AJ426"/>
    <mergeCell ref="AK426:AN426"/>
    <mergeCell ref="AO426:AR426"/>
    <mergeCell ref="B419:D419"/>
    <mergeCell ref="E419:H419"/>
    <mergeCell ref="I419:L419"/>
    <mergeCell ref="M419:P419"/>
    <mergeCell ref="Q419:T419"/>
    <mergeCell ref="U419:X419"/>
    <mergeCell ref="Y419:AB419"/>
    <mergeCell ref="AC419:AF419"/>
    <mergeCell ref="AG419:AJ419"/>
    <mergeCell ref="AK419:AN419"/>
    <mergeCell ref="AO419:AR419"/>
    <mergeCell ref="E420:H420"/>
    <mergeCell ref="I420:L420"/>
    <mergeCell ref="M420:P420"/>
    <mergeCell ref="Q420:T420"/>
    <mergeCell ref="U420:X420"/>
    <mergeCell ref="Y420:AB420"/>
    <mergeCell ref="AC420:AF420"/>
    <mergeCell ref="AG420:AJ420"/>
    <mergeCell ref="AK420:AN420"/>
    <mergeCell ref="AO420:AR420"/>
    <mergeCell ref="D415:F415"/>
    <mergeCell ref="G415:L415"/>
    <mergeCell ref="M415:N415"/>
    <mergeCell ref="AJ415:AM415"/>
    <mergeCell ref="AO415:AR415"/>
    <mergeCell ref="AU415:AZ415"/>
    <mergeCell ref="D416:F416"/>
    <mergeCell ref="G416:L416"/>
    <mergeCell ref="M416:N416"/>
    <mergeCell ref="AJ416:AM416"/>
    <mergeCell ref="AO416:AR416"/>
    <mergeCell ref="AU416:AW416"/>
    <mergeCell ref="AX416:AZ416"/>
    <mergeCell ref="AU417:AW417"/>
    <mergeCell ref="AX417:AZ417"/>
    <mergeCell ref="E418:H418"/>
    <mergeCell ref="I418:L418"/>
    <mergeCell ref="M418:P418"/>
    <mergeCell ref="Q418:T418"/>
    <mergeCell ref="U418:X418"/>
    <mergeCell ref="Y418:AB418"/>
    <mergeCell ref="AC418:AF418"/>
    <mergeCell ref="AG418:AJ418"/>
    <mergeCell ref="AK418:AN418"/>
    <mergeCell ref="AO418:AR418"/>
    <mergeCell ref="B411:D411"/>
    <mergeCell ref="E411:H411"/>
    <mergeCell ref="I411:L411"/>
    <mergeCell ref="M411:P411"/>
    <mergeCell ref="Q411:T411"/>
    <mergeCell ref="U411:X411"/>
    <mergeCell ref="Y411:AB411"/>
    <mergeCell ref="AC411:AF411"/>
    <mergeCell ref="AG411:AJ411"/>
    <mergeCell ref="AK411:AN411"/>
    <mergeCell ref="AO411:AR411"/>
    <mergeCell ref="E412:H412"/>
    <mergeCell ref="I412:L412"/>
    <mergeCell ref="M412:P412"/>
    <mergeCell ref="Q412:T412"/>
    <mergeCell ref="U412:X412"/>
    <mergeCell ref="Y412:AB412"/>
    <mergeCell ref="AC412:AF412"/>
    <mergeCell ref="AG412:AJ412"/>
    <mergeCell ref="AK412:AN412"/>
    <mergeCell ref="AO412:AR412"/>
    <mergeCell ref="D407:F407"/>
    <mergeCell ref="G407:L407"/>
    <mergeCell ref="M407:N407"/>
    <mergeCell ref="AJ407:AM407"/>
    <mergeCell ref="AO407:AR407"/>
    <mergeCell ref="AU407:AZ407"/>
    <mergeCell ref="D408:F408"/>
    <mergeCell ref="G408:L408"/>
    <mergeCell ref="M408:N408"/>
    <mergeCell ref="AJ408:AM408"/>
    <mergeCell ref="AO408:AR408"/>
    <mergeCell ref="AU408:AW408"/>
    <mergeCell ref="AX408:AZ408"/>
    <mergeCell ref="AU409:AW409"/>
    <mergeCell ref="AX409:AZ409"/>
    <mergeCell ref="E410:H410"/>
    <mergeCell ref="I410:L410"/>
    <mergeCell ref="M410:P410"/>
    <mergeCell ref="Q410:T410"/>
    <mergeCell ref="U410:X410"/>
    <mergeCell ref="Y410:AB410"/>
    <mergeCell ref="AC410:AF410"/>
    <mergeCell ref="AG410:AJ410"/>
    <mergeCell ref="AK410:AN410"/>
    <mergeCell ref="AO410:AR410"/>
    <mergeCell ref="B403:D403"/>
    <mergeCell ref="E403:H403"/>
    <mergeCell ref="I403:L403"/>
    <mergeCell ref="M403:P403"/>
    <mergeCell ref="Q403:T403"/>
    <mergeCell ref="U403:X403"/>
    <mergeCell ref="Y403:AB403"/>
    <mergeCell ref="AC403:AF403"/>
    <mergeCell ref="AG403:AJ403"/>
    <mergeCell ref="AK403:AN403"/>
    <mergeCell ref="AO403:AR403"/>
    <mergeCell ref="E404:H404"/>
    <mergeCell ref="I404:L404"/>
    <mergeCell ref="M404:P404"/>
    <mergeCell ref="Q404:T404"/>
    <mergeCell ref="U404:X404"/>
    <mergeCell ref="Y404:AB404"/>
    <mergeCell ref="AC404:AF404"/>
    <mergeCell ref="AG404:AJ404"/>
    <mergeCell ref="AK404:AN404"/>
    <mergeCell ref="AO404:AR404"/>
    <mergeCell ref="D399:F399"/>
    <mergeCell ref="G399:L399"/>
    <mergeCell ref="M399:N399"/>
    <mergeCell ref="AJ399:AM399"/>
    <mergeCell ref="AO399:AR399"/>
    <mergeCell ref="AU399:AZ399"/>
    <mergeCell ref="D400:F400"/>
    <mergeCell ref="G400:L400"/>
    <mergeCell ref="M400:N400"/>
    <mergeCell ref="AJ400:AM400"/>
    <mergeCell ref="AO400:AR400"/>
    <mergeCell ref="AU400:AW400"/>
    <mergeCell ref="AX400:AZ400"/>
    <mergeCell ref="AU401:AW401"/>
    <mergeCell ref="AX401:AZ401"/>
    <mergeCell ref="E402:H402"/>
    <mergeCell ref="I402:L402"/>
    <mergeCell ref="M402:P402"/>
    <mergeCell ref="Q402:T402"/>
    <mergeCell ref="U402:X402"/>
    <mergeCell ref="Y402:AB402"/>
    <mergeCell ref="AC402:AF402"/>
    <mergeCell ref="AG402:AJ402"/>
    <mergeCell ref="AK402:AN402"/>
    <mergeCell ref="AO402:AR402"/>
    <mergeCell ref="B395:D395"/>
    <mergeCell ref="E395:H395"/>
    <mergeCell ref="I395:L395"/>
    <mergeCell ref="M395:P395"/>
    <mergeCell ref="Q395:T395"/>
    <mergeCell ref="U395:X395"/>
    <mergeCell ref="Y395:AB395"/>
    <mergeCell ref="AC395:AF395"/>
    <mergeCell ref="AG395:AJ395"/>
    <mergeCell ref="AK395:AN395"/>
    <mergeCell ref="AO395:AR395"/>
    <mergeCell ref="E396:H396"/>
    <mergeCell ref="I396:L396"/>
    <mergeCell ref="M396:P396"/>
    <mergeCell ref="Q396:T396"/>
    <mergeCell ref="U396:X396"/>
    <mergeCell ref="Y396:AB396"/>
    <mergeCell ref="AC396:AF396"/>
    <mergeCell ref="AG396:AJ396"/>
    <mergeCell ref="AK396:AN396"/>
    <mergeCell ref="AO396:AR396"/>
    <mergeCell ref="D391:F391"/>
    <mergeCell ref="G391:L391"/>
    <mergeCell ref="M391:N391"/>
    <mergeCell ref="AJ391:AM391"/>
    <mergeCell ref="AO391:AR391"/>
    <mergeCell ref="AU391:AZ391"/>
    <mergeCell ref="D392:F392"/>
    <mergeCell ref="G392:L392"/>
    <mergeCell ref="M392:N392"/>
    <mergeCell ref="AJ392:AM392"/>
    <mergeCell ref="AO392:AR392"/>
    <mergeCell ref="AU392:AW392"/>
    <mergeCell ref="AX392:AZ392"/>
    <mergeCell ref="AU393:AW393"/>
    <mergeCell ref="AX393:AZ393"/>
    <mergeCell ref="E394:H394"/>
    <mergeCell ref="I394:L394"/>
    <mergeCell ref="M394:P394"/>
    <mergeCell ref="Q394:T394"/>
    <mergeCell ref="U394:X394"/>
    <mergeCell ref="Y394:AB394"/>
    <mergeCell ref="AC394:AF394"/>
    <mergeCell ref="AG394:AJ394"/>
    <mergeCell ref="AK394:AN394"/>
    <mergeCell ref="AO394:AR394"/>
    <mergeCell ref="B387:D387"/>
    <mergeCell ref="E387:H387"/>
    <mergeCell ref="I387:L387"/>
    <mergeCell ref="M387:P387"/>
    <mergeCell ref="Q387:T387"/>
    <mergeCell ref="U387:X387"/>
    <mergeCell ref="Y387:AB387"/>
    <mergeCell ref="AC387:AF387"/>
    <mergeCell ref="AG387:AJ387"/>
    <mergeCell ref="AK387:AN387"/>
    <mergeCell ref="AO387:AR387"/>
    <mergeCell ref="E388:H388"/>
    <mergeCell ref="I388:L388"/>
    <mergeCell ref="M388:P388"/>
    <mergeCell ref="Q388:T388"/>
    <mergeCell ref="U388:X388"/>
    <mergeCell ref="Y388:AB388"/>
    <mergeCell ref="AC388:AF388"/>
    <mergeCell ref="AG388:AJ388"/>
    <mergeCell ref="AK388:AN388"/>
    <mergeCell ref="AO388:AR388"/>
    <mergeCell ref="D383:F383"/>
    <mergeCell ref="G383:L383"/>
    <mergeCell ref="M383:N383"/>
    <mergeCell ref="AJ383:AM383"/>
    <mergeCell ref="AO383:AR383"/>
    <mergeCell ref="AU383:AZ383"/>
    <mergeCell ref="D384:F384"/>
    <mergeCell ref="G384:L384"/>
    <mergeCell ref="M384:N384"/>
    <mergeCell ref="AJ384:AM384"/>
    <mergeCell ref="AO384:AR384"/>
    <mergeCell ref="AU384:AW384"/>
    <mergeCell ref="AX384:AZ384"/>
    <mergeCell ref="AU385:AW385"/>
    <mergeCell ref="AX385:AZ385"/>
    <mergeCell ref="E386:H386"/>
    <mergeCell ref="I386:L386"/>
    <mergeCell ref="M386:P386"/>
    <mergeCell ref="Q386:T386"/>
    <mergeCell ref="U386:X386"/>
    <mergeCell ref="Y386:AB386"/>
    <mergeCell ref="AC386:AF386"/>
    <mergeCell ref="AG386:AJ386"/>
    <mergeCell ref="AK386:AN386"/>
    <mergeCell ref="AO386:AR386"/>
    <mergeCell ref="B379:D379"/>
    <mergeCell ref="E379:H379"/>
    <mergeCell ref="I379:L379"/>
    <mergeCell ref="M379:P379"/>
    <mergeCell ref="Q379:T379"/>
    <mergeCell ref="U379:X379"/>
    <mergeCell ref="Y379:AB379"/>
    <mergeCell ref="AC379:AF379"/>
    <mergeCell ref="AG379:AJ379"/>
    <mergeCell ref="AK379:AN379"/>
    <mergeCell ref="AO379:AR379"/>
    <mergeCell ref="E380:H380"/>
    <mergeCell ref="I380:L380"/>
    <mergeCell ref="M380:P380"/>
    <mergeCell ref="Q380:T380"/>
    <mergeCell ref="U380:X380"/>
    <mergeCell ref="Y380:AB380"/>
    <mergeCell ref="AC380:AF380"/>
    <mergeCell ref="AG380:AJ380"/>
    <mergeCell ref="AK380:AN380"/>
    <mergeCell ref="AO380:AR380"/>
    <mergeCell ref="D375:F375"/>
    <mergeCell ref="G375:L375"/>
    <mergeCell ref="M375:N375"/>
    <mergeCell ref="AJ375:AM375"/>
    <mergeCell ref="AO375:AR375"/>
    <mergeCell ref="AU375:AZ375"/>
    <mergeCell ref="D376:F376"/>
    <mergeCell ref="G376:L376"/>
    <mergeCell ref="M376:N376"/>
    <mergeCell ref="AJ376:AM376"/>
    <mergeCell ref="AO376:AR376"/>
    <mergeCell ref="AU376:AW376"/>
    <mergeCell ref="AX376:AZ376"/>
    <mergeCell ref="AU377:AW377"/>
    <mergeCell ref="AX377:AZ377"/>
    <mergeCell ref="E378:H378"/>
    <mergeCell ref="I378:L378"/>
    <mergeCell ref="M378:P378"/>
    <mergeCell ref="Q378:T378"/>
    <mergeCell ref="U378:X378"/>
    <mergeCell ref="Y378:AB378"/>
    <mergeCell ref="AC378:AF378"/>
    <mergeCell ref="AG378:AJ378"/>
    <mergeCell ref="AK378:AN378"/>
    <mergeCell ref="AO378:AR378"/>
    <mergeCell ref="B371:D371"/>
    <mergeCell ref="E371:H371"/>
    <mergeCell ref="I371:L371"/>
    <mergeCell ref="M371:P371"/>
    <mergeCell ref="Q371:T371"/>
    <mergeCell ref="U371:X371"/>
    <mergeCell ref="Y371:AB371"/>
    <mergeCell ref="AC371:AF371"/>
    <mergeCell ref="AG371:AJ371"/>
    <mergeCell ref="AK371:AN371"/>
    <mergeCell ref="AO371:AR371"/>
    <mergeCell ref="E372:H372"/>
    <mergeCell ref="I372:L372"/>
    <mergeCell ref="M372:P372"/>
    <mergeCell ref="Q372:T372"/>
    <mergeCell ref="U372:X372"/>
    <mergeCell ref="Y372:AB372"/>
    <mergeCell ref="AC372:AF372"/>
    <mergeCell ref="AG372:AJ372"/>
    <mergeCell ref="AK372:AN372"/>
    <mergeCell ref="AO372:AR372"/>
    <mergeCell ref="D367:F367"/>
    <mergeCell ref="G367:L367"/>
    <mergeCell ref="M367:N367"/>
    <mergeCell ref="AJ367:AM367"/>
    <mergeCell ref="AO367:AR367"/>
    <mergeCell ref="AU367:AZ367"/>
    <mergeCell ref="D368:F368"/>
    <mergeCell ref="G368:L368"/>
    <mergeCell ref="M368:N368"/>
    <mergeCell ref="AJ368:AM368"/>
    <mergeCell ref="AO368:AR368"/>
    <mergeCell ref="AU368:AW368"/>
    <mergeCell ref="AX368:AZ368"/>
    <mergeCell ref="AU369:AW369"/>
    <mergeCell ref="AX369:AZ369"/>
    <mergeCell ref="E370:H370"/>
    <mergeCell ref="I370:L370"/>
    <mergeCell ref="M370:P370"/>
    <mergeCell ref="Q370:T370"/>
    <mergeCell ref="U370:X370"/>
    <mergeCell ref="Y370:AB370"/>
    <mergeCell ref="AC370:AF370"/>
    <mergeCell ref="AG370:AJ370"/>
    <mergeCell ref="AK370:AN370"/>
    <mergeCell ref="AO370:AR370"/>
    <mergeCell ref="B363:D363"/>
    <mergeCell ref="E363:H363"/>
    <mergeCell ref="I363:L363"/>
    <mergeCell ref="M363:P363"/>
    <mergeCell ref="Q363:T363"/>
    <mergeCell ref="U363:X363"/>
    <mergeCell ref="Y363:AB363"/>
    <mergeCell ref="AC363:AF363"/>
    <mergeCell ref="AG363:AJ363"/>
    <mergeCell ref="AK363:AN363"/>
    <mergeCell ref="AO363:AR363"/>
    <mergeCell ref="E364:H364"/>
    <mergeCell ref="I364:L364"/>
    <mergeCell ref="M364:P364"/>
    <mergeCell ref="Q364:T364"/>
    <mergeCell ref="U364:X364"/>
    <mergeCell ref="Y364:AB364"/>
    <mergeCell ref="AC364:AF364"/>
    <mergeCell ref="AG364:AJ364"/>
    <mergeCell ref="AK364:AN364"/>
    <mergeCell ref="AO364:AR364"/>
    <mergeCell ref="D359:F359"/>
    <mergeCell ref="G359:L359"/>
    <mergeCell ref="M359:N359"/>
    <mergeCell ref="AJ359:AM359"/>
    <mergeCell ref="AO359:AR359"/>
    <mergeCell ref="AU359:AZ359"/>
    <mergeCell ref="D360:F360"/>
    <mergeCell ref="G360:L360"/>
    <mergeCell ref="M360:N360"/>
    <mergeCell ref="AJ360:AM360"/>
    <mergeCell ref="AO360:AR360"/>
    <mergeCell ref="AU360:AW360"/>
    <mergeCell ref="AX360:AZ360"/>
    <mergeCell ref="AU361:AW361"/>
    <mergeCell ref="AX361:AZ361"/>
    <mergeCell ref="E362:H362"/>
    <mergeCell ref="I362:L362"/>
    <mergeCell ref="M362:P362"/>
    <mergeCell ref="Q362:T362"/>
    <mergeCell ref="U362:X362"/>
    <mergeCell ref="Y362:AB362"/>
    <mergeCell ref="AC362:AF362"/>
    <mergeCell ref="AG362:AJ362"/>
    <mergeCell ref="AK362:AN362"/>
    <mergeCell ref="AO362:AR362"/>
    <mergeCell ref="B355:D355"/>
    <mergeCell ref="E355:H355"/>
    <mergeCell ref="I355:L355"/>
    <mergeCell ref="M355:P355"/>
    <mergeCell ref="Q355:T355"/>
    <mergeCell ref="U355:X355"/>
    <mergeCell ref="Y355:AB355"/>
    <mergeCell ref="AC355:AF355"/>
    <mergeCell ref="AG355:AJ355"/>
    <mergeCell ref="AK355:AN355"/>
    <mergeCell ref="AO355:AR355"/>
    <mergeCell ref="E356:H356"/>
    <mergeCell ref="I356:L356"/>
    <mergeCell ref="M356:P356"/>
    <mergeCell ref="Q356:T356"/>
    <mergeCell ref="U356:X356"/>
    <mergeCell ref="Y356:AB356"/>
    <mergeCell ref="AC356:AF356"/>
    <mergeCell ref="AG356:AJ356"/>
    <mergeCell ref="AK356:AN356"/>
    <mergeCell ref="AO356:AR356"/>
    <mergeCell ref="D351:F351"/>
    <mergeCell ref="G351:L351"/>
    <mergeCell ref="M351:N351"/>
    <mergeCell ref="AJ351:AM351"/>
    <mergeCell ref="AO351:AR351"/>
    <mergeCell ref="AU351:AZ351"/>
    <mergeCell ref="D352:F352"/>
    <mergeCell ref="G352:L352"/>
    <mergeCell ref="M352:N352"/>
    <mergeCell ref="AJ352:AM352"/>
    <mergeCell ref="AO352:AR352"/>
    <mergeCell ref="AU352:AW352"/>
    <mergeCell ref="AX352:AZ352"/>
    <mergeCell ref="AU353:AW353"/>
    <mergeCell ref="AX353:AZ353"/>
    <mergeCell ref="E354:H354"/>
    <mergeCell ref="I354:L354"/>
    <mergeCell ref="M354:P354"/>
    <mergeCell ref="Q354:T354"/>
    <mergeCell ref="U354:X354"/>
    <mergeCell ref="Y354:AB354"/>
    <mergeCell ref="AC354:AF354"/>
    <mergeCell ref="AG354:AJ354"/>
    <mergeCell ref="AK354:AN354"/>
    <mergeCell ref="AO354:AR354"/>
    <mergeCell ref="B347:D347"/>
    <mergeCell ref="E347:H347"/>
    <mergeCell ref="I347:L347"/>
    <mergeCell ref="M347:P347"/>
    <mergeCell ref="Q347:T347"/>
    <mergeCell ref="U347:X347"/>
    <mergeCell ref="Y347:AB347"/>
    <mergeCell ref="AC347:AF347"/>
    <mergeCell ref="AG347:AJ347"/>
    <mergeCell ref="AK347:AN347"/>
    <mergeCell ref="AO347:AR347"/>
    <mergeCell ref="E348:H348"/>
    <mergeCell ref="I348:L348"/>
    <mergeCell ref="M348:P348"/>
    <mergeCell ref="Q348:T348"/>
    <mergeCell ref="U348:X348"/>
    <mergeCell ref="Y348:AB348"/>
    <mergeCell ref="AC348:AF348"/>
    <mergeCell ref="AG348:AJ348"/>
    <mergeCell ref="AK348:AN348"/>
    <mergeCell ref="AO348:AR348"/>
    <mergeCell ref="D343:F343"/>
    <mergeCell ref="G343:L343"/>
    <mergeCell ref="M343:N343"/>
    <mergeCell ref="AJ343:AM343"/>
    <mergeCell ref="AO343:AR343"/>
    <mergeCell ref="AU343:AZ343"/>
    <mergeCell ref="D344:F344"/>
    <mergeCell ref="G344:L344"/>
    <mergeCell ref="M344:N344"/>
    <mergeCell ref="AJ344:AM344"/>
    <mergeCell ref="AO344:AR344"/>
    <mergeCell ref="AU344:AW344"/>
    <mergeCell ref="AX344:AZ344"/>
    <mergeCell ref="AU345:AW345"/>
    <mergeCell ref="AX345:AZ345"/>
    <mergeCell ref="E346:H346"/>
    <mergeCell ref="I346:L346"/>
    <mergeCell ref="M346:P346"/>
    <mergeCell ref="Q346:T346"/>
    <mergeCell ref="U346:X346"/>
    <mergeCell ref="Y346:AB346"/>
    <mergeCell ref="AC346:AF346"/>
    <mergeCell ref="AG346:AJ346"/>
    <mergeCell ref="AK346:AN346"/>
    <mergeCell ref="AO346:AR346"/>
    <mergeCell ref="B339:D339"/>
    <mergeCell ref="E339:H339"/>
    <mergeCell ref="I339:L339"/>
    <mergeCell ref="M339:P339"/>
    <mergeCell ref="Q339:T339"/>
    <mergeCell ref="U339:X339"/>
    <mergeCell ref="Y339:AB339"/>
    <mergeCell ref="AC339:AF339"/>
    <mergeCell ref="AG339:AJ339"/>
    <mergeCell ref="AK339:AN339"/>
    <mergeCell ref="AO339:AR339"/>
    <mergeCell ref="E340:H340"/>
    <mergeCell ref="I340:L340"/>
    <mergeCell ref="M340:P340"/>
    <mergeCell ref="Q340:T340"/>
    <mergeCell ref="U340:X340"/>
    <mergeCell ref="Y340:AB340"/>
    <mergeCell ref="AC340:AF340"/>
    <mergeCell ref="AG340:AJ340"/>
    <mergeCell ref="AK340:AN340"/>
    <mergeCell ref="AO340:AR340"/>
    <mergeCell ref="D335:F335"/>
    <mergeCell ref="G335:L335"/>
    <mergeCell ref="M335:N335"/>
    <mergeCell ref="AJ335:AM335"/>
    <mergeCell ref="AO335:AR335"/>
    <mergeCell ref="AU335:AZ335"/>
    <mergeCell ref="D336:F336"/>
    <mergeCell ref="G336:L336"/>
    <mergeCell ref="M336:N336"/>
    <mergeCell ref="AJ336:AM336"/>
    <mergeCell ref="AO336:AR336"/>
    <mergeCell ref="AU336:AW336"/>
    <mergeCell ref="AX336:AZ336"/>
    <mergeCell ref="AU337:AW337"/>
    <mergeCell ref="AX337:AZ337"/>
    <mergeCell ref="E338:H338"/>
    <mergeCell ref="I338:L338"/>
    <mergeCell ref="M338:P338"/>
    <mergeCell ref="Q338:T338"/>
    <mergeCell ref="U338:X338"/>
    <mergeCell ref="Y338:AB338"/>
    <mergeCell ref="AC338:AF338"/>
    <mergeCell ref="AG338:AJ338"/>
    <mergeCell ref="AK338:AN338"/>
    <mergeCell ref="AO338:AR338"/>
    <mergeCell ref="B331:D331"/>
    <mergeCell ref="E331:H331"/>
    <mergeCell ref="I331:L331"/>
    <mergeCell ref="M331:P331"/>
    <mergeCell ref="Q331:T331"/>
    <mergeCell ref="U331:X331"/>
    <mergeCell ref="Y331:AB331"/>
    <mergeCell ref="AC331:AF331"/>
    <mergeCell ref="AG331:AJ331"/>
    <mergeCell ref="AK331:AN331"/>
    <mergeCell ref="AO331:AR331"/>
    <mergeCell ref="E332:H332"/>
    <mergeCell ref="I332:L332"/>
    <mergeCell ref="M332:P332"/>
    <mergeCell ref="Q332:T332"/>
    <mergeCell ref="U332:X332"/>
    <mergeCell ref="Y332:AB332"/>
    <mergeCell ref="AC332:AF332"/>
    <mergeCell ref="AG332:AJ332"/>
    <mergeCell ref="AK332:AN332"/>
    <mergeCell ref="AO332:AR332"/>
    <mergeCell ref="D327:F327"/>
    <mergeCell ref="G327:L327"/>
    <mergeCell ref="M327:N327"/>
    <mergeCell ref="AJ327:AM327"/>
    <mergeCell ref="AO327:AR327"/>
    <mergeCell ref="AU327:AZ327"/>
    <mergeCell ref="D328:F328"/>
    <mergeCell ref="G328:L328"/>
    <mergeCell ref="M328:N328"/>
    <mergeCell ref="AJ328:AM328"/>
    <mergeCell ref="AO328:AR328"/>
    <mergeCell ref="AU328:AW328"/>
    <mergeCell ref="AX328:AZ328"/>
    <mergeCell ref="AU329:AW329"/>
    <mergeCell ref="AX329:AZ329"/>
    <mergeCell ref="E330:H330"/>
    <mergeCell ref="I330:L330"/>
    <mergeCell ref="M330:P330"/>
    <mergeCell ref="Q330:T330"/>
    <mergeCell ref="U330:X330"/>
    <mergeCell ref="Y330:AB330"/>
    <mergeCell ref="AC330:AF330"/>
    <mergeCell ref="AG330:AJ330"/>
    <mergeCell ref="AK330:AN330"/>
    <mergeCell ref="AO330:AR330"/>
    <mergeCell ref="B323:D323"/>
    <mergeCell ref="E323:H323"/>
    <mergeCell ref="I323:L323"/>
    <mergeCell ref="M323:P323"/>
    <mergeCell ref="Q323:T323"/>
    <mergeCell ref="U323:X323"/>
    <mergeCell ref="Y323:AB323"/>
    <mergeCell ref="AC323:AF323"/>
    <mergeCell ref="AG323:AJ323"/>
    <mergeCell ref="AK323:AN323"/>
    <mergeCell ref="AO323:AR323"/>
    <mergeCell ref="E324:H324"/>
    <mergeCell ref="I324:L324"/>
    <mergeCell ref="M324:P324"/>
    <mergeCell ref="Q324:T324"/>
    <mergeCell ref="U324:X324"/>
    <mergeCell ref="Y324:AB324"/>
    <mergeCell ref="AC324:AF324"/>
    <mergeCell ref="AG324:AJ324"/>
    <mergeCell ref="AK324:AN324"/>
    <mergeCell ref="AO324:AR324"/>
    <mergeCell ref="D319:F319"/>
    <mergeCell ref="G319:L319"/>
    <mergeCell ref="M319:N319"/>
    <mergeCell ref="AJ319:AM319"/>
    <mergeCell ref="AO319:AR319"/>
    <mergeCell ref="AU319:AZ319"/>
    <mergeCell ref="D320:F320"/>
    <mergeCell ref="G320:L320"/>
    <mergeCell ref="M320:N320"/>
    <mergeCell ref="AJ320:AM320"/>
    <mergeCell ref="AO320:AR320"/>
    <mergeCell ref="AU320:AW320"/>
    <mergeCell ref="AX320:AZ320"/>
    <mergeCell ref="AU321:AW321"/>
    <mergeCell ref="AX321:AZ321"/>
    <mergeCell ref="E322:H322"/>
    <mergeCell ref="I322:L322"/>
    <mergeCell ref="M322:P322"/>
    <mergeCell ref="Q322:T322"/>
    <mergeCell ref="U322:X322"/>
    <mergeCell ref="Y322:AB322"/>
    <mergeCell ref="AC322:AF322"/>
    <mergeCell ref="AG322:AJ322"/>
    <mergeCell ref="AK322:AN322"/>
    <mergeCell ref="AO322:AR322"/>
    <mergeCell ref="B315:D315"/>
    <mergeCell ref="E315:H315"/>
    <mergeCell ref="I315:L315"/>
    <mergeCell ref="M315:P315"/>
    <mergeCell ref="Q315:T315"/>
    <mergeCell ref="U315:X315"/>
    <mergeCell ref="Y315:AB315"/>
    <mergeCell ref="AC315:AF315"/>
    <mergeCell ref="AG315:AJ315"/>
    <mergeCell ref="AK315:AN315"/>
    <mergeCell ref="AO315:AR315"/>
    <mergeCell ref="E316:H316"/>
    <mergeCell ref="I316:L316"/>
    <mergeCell ref="M316:P316"/>
    <mergeCell ref="Q316:T316"/>
    <mergeCell ref="U316:X316"/>
    <mergeCell ref="Y316:AB316"/>
    <mergeCell ref="AC316:AF316"/>
    <mergeCell ref="AG316:AJ316"/>
    <mergeCell ref="AK316:AN316"/>
    <mergeCell ref="AO316:AR316"/>
    <mergeCell ref="D311:F311"/>
    <mergeCell ref="G311:L311"/>
    <mergeCell ref="M311:N311"/>
    <mergeCell ref="AJ311:AM311"/>
    <mergeCell ref="AO311:AR311"/>
    <mergeCell ref="AU311:AZ311"/>
    <mergeCell ref="D312:F312"/>
    <mergeCell ref="G312:L312"/>
    <mergeCell ref="M312:N312"/>
    <mergeCell ref="AJ312:AM312"/>
    <mergeCell ref="AO312:AR312"/>
    <mergeCell ref="AU312:AW312"/>
    <mergeCell ref="AX312:AZ312"/>
    <mergeCell ref="AU313:AW313"/>
    <mergeCell ref="AX313:AZ313"/>
    <mergeCell ref="E314:H314"/>
    <mergeCell ref="I314:L314"/>
    <mergeCell ref="M314:P314"/>
    <mergeCell ref="Q314:T314"/>
    <mergeCell ref="U314:X314"/>
    <mergeCell ref="Y314:AB314"/>
    <mergeCell ref="AC314:AF314"/>
    <mergeCell ref="AG314:AJ314"/>
    <mergeCell ref="AK314:AN314"/>
    <mergeCell ref="AO314:AR314"/>
    <mergeCell ref="B307:D307"/>
    <mergeCell ref="E307:H307"/>
    <mergeCell ref="I307:L307"/>
    <mergeCell ref="M307:P307"/>
    <mergeCell ref="Q307:T307"/>
    <mergeCell ref="U307:X307"/>
    <mergeCell ref="Y307:AB307"/>
    <mergeCell ref="AC307:AF307"/>
    <mergeCell ref="AG307:AJ307"/>
    <mergeCell ref="AK307:AN307"/>
    <mergeCell ref="AO307:AR307"/>
    <mergeCell ref="E308:H308"/>
    <mergeCell ref="I308:L308"/>
    <mergeCell ref="M308:P308"/>
    <mergeCell ref="Q308:T308"/>
    <mergeCell ref="U308:X308"/>
    <mergeCell ref="Y308:AB308"/>
    <mergeCell ref="AC308:AF308"/>
    <mergeCell ref="AG308:AJ308"/>
    <mergeCell ref="AK308:AN308"/>
    <mergeCell ref="AO308:AR308"/>
    <mergeCell ref="D303:F303"/>
    <mergeCell ref="G303:L303"/>
    <mergeCell ref="M303:N303"/>
    <mergeCell ref="AJ303:AM303"/>
    <mergeCell ref="AO303:AR303"/>
    <mergeCell ref="AU303:AZ303"/>
    <mergeCell ref="D304:F304"/>
    <mergeCell ref="G304:L304"/>
    <mergeCell ref="M304:N304"/>
    <mergeCell ref="AJ304:AM304"/>
    <mergeCell ref="AO304:AR304"/>
    <mergeCell ref="AU304:AW304"/>
    <mergeCell ref="AX304:AZ304"/>
    <mergeCell ref="AU305:AW305"/>
    <mergeCell ref="AX305:AZ305"/>
    <mergeCell ref="E306:H306"/>
    <mergeCell ref="I306:L306"/>
    <mergeCell ref="M306:P306"/>
    <mergeCell ref="Q306:T306"/>
    <mergeCell ref="U306:X306"/>
    <mergeCell ref="Y306:AB306"/>
    <mergeCell ref="AC306:AF306"/>
    <mergeCell ref="AG306:AJ306"/>
    <mergeCell ref="AK306:AN306"/>
    <mergeCell ref="AO306:AR306"/>
    <mergeCell ref="B299:D299"/>
    <mergeCell ref="E299:H299"/>
    <mergeCell ref="I299:L299"/>
    <mergeCell ref="M299:P299"/>
    <mergeCell ref="Q299:T299"/>
    <mergeCell ref="U299:X299"/>
    <mergeCell ref="Y299:AB299"/>
    <mergeCell ref="AC299:AF299"/>
    <mergeCell ref="AG299:AJ299"/>
    <mergeCell ref="AK299:AN299"/>
    <mergeCell ref="AO299:AR299"/>
    <mergeCell ref="E300:H300"/>
    <mergeCell ref="I300:L300"/>
    <mergeCell ref="M300:P300"/>
    <mergeCell ref="Q300:T300"/>
    <mergeCell ref="U300:X300"/>
    <mergeCell ref="Y300:AB300"/>
    <mergeCell ref="AC300:AF300"/>
    <mergeCell ref="AG300:AJ300"/>
    <mergeCell ref="AK300:AN300"/>
    <mergeCell ref="AO300:AR300"/>
    <mergeCell ref="D295:F295"/>
    <mergeCell ref="G295:L295"/>
    <mergeCell ref="M295:N295"/>
    <mergeCell ref="AJ295:AM295"/>
    <mergeCell ref="AO295:AR295"/>
    <mergeCell ref="AU295:AZ295"/>
    <mergeCell ref="D296:F296"/>
    <mergeCell ref="G296:L296"/>
    <mergeCell ref="M296:N296"/>
    <mergeCell ref="AJ296:AM296"/>
    <mergeCell ref="AO296:AR296"/>
    <mergeCell ref="AU296:AW296"/>
    <mergeCell ref="AX296:AZ296"/>
    <mergeCell ref="AU297:AW297"/>
    <mergeCell ref="AX297:AZ297"/>
    <mergeCell ref="E298:H298"/>
    <mergeCell ref="I298:L298"/>
    <mergeCell ref="M298:P298"/>
    <mergeCell ref="Q298:T298"/>
    <mergeCell ref="U298:X298"/>
    <mergeCell ref="Y298:AB298"/>
    <mergeCell ref="AC298:AF298"/>
    <mergeCell ref="AG298:AJ298"/>
    <mergeCell ref="AK298:AN298"/>
    <mergeCell ref="AO298:AR298"/>
    <mergeCell ref="B291:D291"/>
    <mergeCell ref="E291:H291"/>
    <mergeCell ref="I291:L291"/>
    <mergeCell ref="M291:P291"/>
    <mergeCell ref="Q291:T291"/>
    <mergeCell ref="U291:X291"/>
    <mergeCell ref="Y291:AB291"/>
    <mergeCell ref="AC291:AF291"/>
    <mergeCell ref="AG291:AJ291"/>
    <mergeCell ref="AK291:AN291"/>
    <mergeCell ref="AO291:AR291"/>
    <mergeCell ref="E292:H292"/>
    <mergeCell ref="I292:L292"/>
    <mergeCell ref="M292:P292"/>
    <mergeCell ref="Q292:T292"/>
    <mergeCell ref="U292:X292"/>
    <mergeCell ref="Y292:AB292"/>
    <mergeCell ref="AC292:AF292"/>
    <mergeCell ref="AG292:AJ292"/>
    <mergeCell ref="AK292:AN292"/>
    <mergeCell ref="AO292:AR292"/>
    <mergeCell ref="D287:F287"/>
    <mergeCell ref="G287:L287"/>
    <mergeCell ref="M287:N287"/>
    <mergeCell ref="AJ287:AM287"/>
    <mergeCell ref="AO287:AR287"/>
    <mergeCell ref="AU287:AZ287"/>
    <mergeCell ref="D288:F288"/>
    <mergeCell ref="G288:L288"/>
    <mergeCell ref="M288:N288"/>
    <mergeCell ref="AJ288:AM288"/>
    <mergeCell ref="AO288:AR288"/>
    <mergeCell ref="AU288:AW288"/>
    <mergeCell ref="AX288:AZ288"/>
    <mergeCell ref="AU289:AW289"/>
    <mergeCell ref="AX289:AZ289"/>
    <mergeCell ref="E290:H290"/>
    <mergeCell ref="I290:L290"/>
    <mergeCell ref="M290:P290"/>
    <mergeCell ref="Q290:T290"/>
    <mergeCell ref="U290:X290"/>
    <mergeCell ref="Y290:AB290"/>
    <mergeCell ref="AC290:AF290"/>
    <mergeCell ref="AG290:AJ290"/>
    <mergeCell ref="AK290:AN290"/>
    <mergeCell ref="AO290:AR290"/>
    <mergeCell ref="B283:D283"/>
    <mergeCell ref="E283:H283"/>
    <mergeCell ref="I283:L283"/>
    <mergeCell ref="M283:P283"/>
    <mergeCell ref="Q283:T283"/>
    <mergeCell ref="U283:X283"/>
    <mergeCell ref="Y283:AB283"/>
    <mergeCell ref="AC283:AF283"/>
    <mergeCell ref="AG283:AJ283"/>
    <mergeCell ref="AK283:AN283"/>
    <mergeCell ref="AO283:AR283"/>
    <mergeCell ref="E284:H284"/>
    <mergeCell ref="I284:L284"/>
    <mergeCell ref="M284:P284"/>
    <mergeCell ref="Q284:T284"/>
    <mergeCell ref="U284:X284"/>
    <mergeCell ref="Y284:AB284"/>
    <mergeCell ref="AC284:AF284"/>
    <mergeCell ref="AG284:AJ284"/>
    <mergeCell ref="AK284:AN284"/>
    <mergeCell ref="AO284:AR284"/>
    <mergeCell ref="D279:F279"/>
    <mergeCell ref="G279:L279"/>
    <mergeCell ref="M279:N279"/>
    <mergeCell ref="AJ279:AM279"/>
    <mergeCell ref="AO279:AR279"/>
    <mergeCell ref="AU279:AZ279"/>
    <mergeCell ref="D280:F280"/>
    <mergeCell ref="G280:L280"/>
    <mergeCell ref="M280:N280"/>
    <mergeCell ref="AJ280:AM280"/>
    <mergeCell ref="AO280:AR280"/>
    <mergeCell ref="AU280:AW280"/>
    <mergeCell ref="AX280:AZ280"/>
    <mergeCell ref="AU281:AW281"/>
    <mergeCell ref="AX281:AZ281"/>
    <mergeCell ref="E282:H282"/>
    <mergeCell ref="I282:L282"/>
    <mergeCell ref="M282:P282"/>
    <mergeCell ref="Q282:T282"/>
    <mergeCell ref="U282:X282"/>
    <mergeCell ref="Y282:AB282"/>
    <mergeCell ref="AC282:AF282"/>
    <mergeCell ref="AG282:AJ282"/>
    <mergeCell ref="AK282:AN282"/>
    <mergeCell ref="AO282:AR282"/>
    <mergeCell ref="B275:D275"/>
    <mergeCell ref="E275:H275"/>
    <mergeCell ref="I275:L275"/>
    <mergeCell ref="M275:P275"/>
    <mergeCell ref="Q275:T275"/>
    <mergeCell ref="U275:X275"/>
    <mergeCell ref="Y275:AB275"/>
    <mergeCell ref="AC275:AF275"/>
    <mergeCell ref="AG275:AJ275"/>
    <mergeCell ref="AK275:AN275"/>
    <mergeCell ref="AO275:AR275"/>
    <mergeCell ref="E276:H276"/>
    <mergeCell ref="I276:L276"/>
    <mergeCell ref="M276:P276"/>
    <mergeCell ref="Q276:T276"/>
    <mergeCell ref="U276:X276"/>
    <mergeCell ref="Y276:AB276"/>
    <mergeCell ref="AC276:AF276"/>
    <mergeCell ref="AG276:AJ276"/>
    <mergeCell ref="AK276:AN276"/>
    <mergeCell ref="AO276:AR276"/>
    <mergeCell ref="D271:F271"/>
    <mergeCell ref="G271:L271"/>
    <mergeCell ref="M271:N271"/>
    <mergeCell ref="AJ271:AM271"/>
    <mergeCell ref="AO271:AR271"/>
    <mergeCell ref="AU271:AZ271"/>
    <mergeCell ref="D272:F272"/>
    <mergeCell ref="G272:L272"/>
    <mergeCell ref="M272:N272"/>
    <mergeCell ref="AJ272:AM272"/>
    <mergeCell ref="AO272:AR272"/>
    <mergeCell ref="AU272:AW272"/>
    <mergeCell ref="AX272:AZ272"/>
    <mergeCell ref="AU273:AW273"/>
    <mergeCell ref="AX273:AZ273"/>
    <mergeCell ref="E274:H274"/>
    <mergeCell ref="I274:L274"/>
    <mergeCell ref="M274:P274"/>
    <mergeCell ref="Q274:T274"/>
    <mergeCell ref="U274:X274"/>
    <mergeCell ref="Y274:AB274"/>
    <mergeCell ref="AC274:AF274"/>
    <mergeCell ref="AG274:AJ274"/>
    <mergeCell ref="AK274:AN274"/>
    <mergeCell ref="AO274:AR274"/>
    <mergeCell ref="B267:D267"/>
    <mergeCell ref="E267:H267"/>
    <mergeCell ref="I267:L267"/>
    <mergeCell ref="M267:P267"/>
    <mergeCell ref="Q267:T267"/>
    <mergeCell ref="U267:X267"/>
    <mergeCell ref="Y267:AB267"/>
    <mergeCell ref="AC267:AF267"/>
    <mergeCell ref="AG267:AJ267"/>
    <mergeCell ref="AK267:AN267"/>
    <mergeCell ref="AO267:AR267"/>
    <mergeCell ref="E268:H268"/>
    <mergeCell ref="I268:L268"/>
    <mergeCell ref="M268:P268"/>
    <mergeCell ref="Q268:T268"/>
    <mergeCell ref="U268:X268"/>
    <mergeCell ref="Y268:AB268"/>
    <mergeCell ref="AC268:AF268"/>
    <mergeCell ref="AG268:AJ268"/>
    <mergeCell ref="AK268:AN268"/>
    <mergeCell ref="AO268:AR268"/>
    <mergeCell ref="D263:F263"/>
    <mergeCell ref="G263:L263"/>
    <mergeCell ref="M263:N263"/>
    <mergeCell ref="AJ263:AM263"/>
    <mergeCell ref="AO263:AR263"/>
    <mergeCell ref="AU263:AZ263"/>
    <mergeCell ref="D264:F264"/>
    <mergeCell ref="G264:L264"/>
    <mergeCell ref="M264:N264"/>
    <mergeCell ref="AJ264:AM264"/>
    <mergeCell ref="AO264:AR264"/>
    <mergeCell ref="AU264:AW264"/>
    <mergeCell ref="AX264:AZ264"/>
    <mergeCell ref="AU265:AW265"/>
    <mergeCell ref="AX265:AZ265"/>
    <mergeCell ref="E266:H266"/>
    <mergeCell ref="I266:L266"/>
    <mergeCell ref="M266:P266"/>
    <mergeCell ref="Q266:T266"/>
    <mergeCell ref="U266:X266"/>
    <mergeCell ref="Y266:AB266"/>
    <mergeCell ref="AC266:AF266"/>
    <mergeCell ref="AG266:AJ266"/>
    <mergeCell ref="AK266:AN266"/>
    <mergeCell ref="AO266:AR266"/>
    <mergeCell ref="B259:D259"/>
    <mergeCell ref="E259:H259"/>
    <mergeCell ref="I259:L259"/>
    <mergeCell ref="M259:P259"/>
    <mergeCell ref="Q259:T259"/>
    <mergeCell ref="U259:X259"/>
    <mergeCell ref="Y259:AB259"/>
    <mergeCell ref="AC259:AF259"/>
    <mergeCell ref="AG259:AJ259"/>
    <mergeCell ref="AK259:AN259"/>
    <mergeCell ref="AO259:AR259"/>
    <mergeCell ref="E260:H260"/>
    <mergeCell ref="I260:L260"/>
    <mergeCell ref="M260:P260"/>
    <mergeCell ref="Q260:T260"/>
    <mergeCell ref="U260:X260"/>
    <mergeCell ref="Y260:AB260"/>
    <mergeCell ref="AC260:AF260"/>
    <mergeCell ref="AG260:AJ260"/>
    <mergeCell ref="AK260:AN260"/>
    <mergeCell ref="AO260:AR260"/>
    <mergeCell ref="D255:F255"/>
    <mergeCell ref="G255:L255"/>
    <mergeCell ref="M255:N255"/>
    <mergeCell ref="AJ255:AM255"/>
    <mergeCell ref="AO255:AR255"/>
    <mergeCell ref="AU255:AZ255"/>
    <mergeCell ref="D256:F256"/>
    <mergeCell ref="G256:L256"/>
    <mergeCell ref="M256:N256"/>
    <mergeCell ref="AJ256:AM256"/>
    <mergeCell ref="AO256:AR256"/>
    <mergeCell ref="AU256:AW256"/>
    <mergeCell ref="AX256:AZ256"/>
    <mergeCell ref="AU257:AW257"/>
    <mergeCell ref="AX257:AZ257"/>
    <mergeCell ref="E258:H258"/>
    <mergeCell ref="I258:L258"/>
    <mergeCell ref="M258:P258"/>
    <mergeCell ref="Q258:T258"/>
    <mergeCell ref="U258:X258"/>
    <mergeCell ref="Y258:AB258"/>
    <mergeCell ref="AC258:AF258"/>
    <mergeCell ref="AG258:AJ258"/>
    <mergeCell ref="AK258:AN258"/>
    <mergeCell ref="AO258:AR258"/>
    <mergeCell ref="B251:D251"/>
    <mergeCell ref="E251:H251"/>
    <mergeCell ref="I251:L251"/>
    <mergeCell ref="M251:P251"/>
    <mergeCell ref="Q251:T251"/>
    <mergeCell ref="U251:X251"/>
    <mergeCell ref="Y251:AB251"/>
    <mergeCell ref="AC251:AF251"/>
    <mergeCell ref="AG251:AJ251"/>
    <mergeCell ref="AK251:AN251"/>
    <mergeCell ref="AO251:AR251"/>
    <mergeCell ref="E252:H252"/>
    <mergeCell ref="I252:L252"/>
    <mergeCell ref="M252:P252"/>
    <mergeCell ref="Q252:T252"/>
    <mergeCell ref="U252:X252"/>
    <mergeCell ref="Y252:AB252"/>
    <mergeCell ref="AC252:AF252"/>
    <mergeCell ref="AG252:AJ252"/>
    <mergeCell ref="AK252:AN252"/>
    <mergeCell ref="AO252:AR252"/>
    <mergeCell ref="D247:F247"/>
    <mergeCell ref="G247:L247"/>
    <mergeCell ref="M247:N247"/>
    <mergeCell ref="AJ247:AM247"/>
    <mergeCell ref="AO247:AR247"/>
    <mergeCell ref="AU247:AZ247"/>
    <mergeCell ref="D248:F248"/>
    <mergeCell ref="G248:L248"/>
    <mergeCell ref="M248:N248"/>
    <mergeCell ref="AJ248:AM248"/>
    <mergeCell ref="AO248:AR248"/>
    <mergeCell ref="AU248:AW248"/>
    <mergeCell ref="AX248:AZ248"/>
    <mergeCell ref="AU249:AW249"/>
    <mergeCell ref="AX249:AZ249"/>
    <mergeCell ref="E250:H250"/>
    <mergeCell ref="I250:L250"/>
    <mergeCell ref="M250:P250"/>
    <mergeCell ref="Q250:T250"/>
    <mergeCell ref="U250:X250"/>
    <mergeCell ref="Y250:AB250"/>
    <mergeCell ref="AC250:AF250"/>
    <mergeCell ref="AG250:AJ250"/>
    <mergeCell ref="AK250:AN250"/>
    <mergeCell ref="AO250:AR250"/>
    <mergeCell ref="B243:D243"/>
    <mergeCell ref="E243:H243"/>
    <mergeCell ref="I243:L243"/>
    <mergeCell ref="M243:P243"/>
    <mergeCell ref="Q243:T243"/>
    <mergeCell ref="U243:X243"/>
    <mergeCell ref="Y243:AB243"/>
    <mergeCell ref="AC243:AF243"/>
    <mergeCell ref="AG243:AJ243"/>
    <mergeCell ref="AK243:AN243"/>
    <mergeCell ref="AO243:AR243"/>
    <mergeCell ref="E244:H244"/>
    <mergeCell ref="I244:L244"/>
    <mergeCell ref="M244:P244"/>
    <mergeCell ref="Q244:T244"/>
    <mergeCell ref="U244:X244"/>
    <mergeCell ref="Y244:AB244"/>
    <mergeCell ref="AC244:AF244"/>
    <mergeCell ref="AG244:AJ244"/>
    <mergeCell ref="AK244:AN244"/>
    <mergeCell ref="AO244:AR244"/>
    <mergeCell ref="D239:F239"/>
    <mergeCell ref="G239:L239"/>
    <mergeCell ref="M239:N239"/>
    <mergeCell ref="AJ239:AM239"/>
    <mergeCell ref="AO239:AR239"/>
    <mergeCell ref="AU239:AZ239"/>
    <mergeCell ref="D240:F240"/>
    <mergeCell ref="G240:L240"/>
    <mergeCell ref="M240:N240"/>
    <mergeCell ref="AJ240:AM240"/>
    <mergeCell ref="AO240:AR240"/>
    <mergeCell ref="AU240:AW240"/>
    <mergeCell ref="AX240:AZ240"/>
    <mergeCell ref="AU241:AW241"/>
    <mergeCell ref="AX241:AZ241"/>
    <mergeCell ref="E242:H242"/>
    <mergeCell ref="I242:L242"/>
    <mergeCell ref="M242:P242"/>
    <mergeCell ref="Q242:T242"/>
    <mergeCell ref="U242:X242"/>
    <mergeCell ref="Y242:AB242"/>
    <mergeCell ref="AC242:AF242"/>
    <mergeCell ref="AG242:AJ242"/>
    <mergeCell ref="AK242:AN242"/>
    <mergeCell ref="AO242:AR242"/>
    <mergeCell ref="B235:D235"/>
    <mergeCell ref="E235:H235"/>
    <mergeCell ref="I235:L235"/>
    <mergeCell ref="M235:P235"/>
    <mergeCell ref="Q235:T235"/>
    <mergeCell ref="U235:X235"/>
    <mergeCell ref="Y235:AB235"/>
    <mergeCell ref="AC235:AF235"/>
    <mergeCell ref="AG235:AJ235"/>
    <mergeCell ref="AK235:AN235"/>
    <mergeCell ref="AO235:AR235"/>
    <mergeCell ref="E236:H236"/>
    <mergeCell ref="I236:L236"/>
    <mergeCell ref="M236:P236"/>
    <mergeCell ref="Q236:T236"/>
    <mergeCell ref="U236:X236"/>
    <mergeCell ref="Y236:AB236"/>
    <mergeCell ref="AC236:AF236"/>
    <mergeCell ref="AG236:AJ236"/>
    <mergeCell ref="AK236:AN236"/>
    <mergeCell ref="AO236:AR236"/>
    <mergeCell ref="D231:F231"/>
    <mergeCell ref="G231:L231"/>
    <mergeCell ref="M231:N231"/>
    <mergeCell ref="AJ231:AM231"/>
    <mergeCell ref="AO231:AR231"/>
    <mergeCell ref="AU231:AZ231"/>
    <mergeCell ref="D232:F232"/>
    <mergeCell ref="G232:L232"/>
    <mergeCell ref="M232:N232"/>
    <mergeCell ref="AJ232:AM232"/>
    <mergeCell ref="AO232:AR232"/>
    <mergeCell ref="AU232:AW232"/>
    <mergeCell ref="AX232:AZ232"/>
    <mergeCell ref="AU233:AW233"/>
    <mergeCell ref="AX233:AZ233"/>
    <mergeCell ref="E234:H234"/>
    <mergeCell ref="I234:L234"/>
    <mergeCell ref="M234:P234"/>
    <mergeCell ref="Q234:T234"/>
    <mergeCell ref="U234:X234"/>
    <mergeCell ref="Y234:AB234"/>
    <mergeCell ref="AC234:AF234"/>
    <mergeCell ref="AG234:AJ234"/>
    <mergeCell ref="AK234:AN234"/>
    <mergeCell ref="AO234:AR234"/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  <mergeCell ref="AW96:AY96"/>
    <mergeCell ref="AT97:AV97"/>
    <mergeCell ref="AW97:AY97"/>
    <mergeCell ref="AT104:AV104"/>
    <mergeCell ref="AW104:AY104"/>
    <mergeCell ref="AT105:AV105"/>
    <mergeCell ref="AW105:AY105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L10:O10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P10:S10"/>
    <mergeCell ref="T10:W10"/>
    <mergeCell ref="X10:AA10"/>
    <mergeCell ref="X11:AA11"/>
    <mergeCell ref="AB11:AE11"/>
    <mergeCell ref="AF11:AI11"/>
    <mergeCell ref="AJ11:AM11"/>
    <mergeCell ref="AN11:AQ11"/>
    <mergeCell ref="AN12:AQ12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H10:K10"/>
    <mergeCell ref="D12:G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8:AE18"/>
    <mergeCell ref="AF18:AI18"/>
    <mergeCell ref="AJ18:AM18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AN28:AQ28"/>
    <mergeCell ref="C31:E31"/>
    <mergeCell ref="F31:K31"/>
    <mergeCell ref="L31:M31"/>
    <mergeCell ref="AI31:AL31"/>
    <mergeCell ref="AN31:AQ31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B36:AE36"/>
    <mergeCell ref="AF36:AI36"/>
    <mergeCell ref="AJ36:AM36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X44:AA44"/>
    <mergeCell ref="AB44:AE44"/>
    <mergeCell ref="AF44:AI44"/>
    <mergeCell ref="AJ44:AM4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D36:G36"/>
    <mergeCell ref="H36:K36"/>
    <mergeCell ref="L36:O36"/>
    <mergeCell ref="P36:S36"/>
    <mergeCell ref="T36:W36"/>
    <mergeCell ref="X36:AA36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44:AQ44"/>
    <mergeCell ref="X43:AA43"/>
    <mergeCell ref="AB43:AE43"/>
    <mergeCell ref="AF43:AI43"/>
    <mergeCell ref="AJ43:AM43"/>
    <mergeCell ref="AN43:AQ43"/>
    <mergeCell ref="Q6:Y6"/>
    <mergeCell ref="AA6:AE6"/>
    <mergeCell ref="A11:C11"/>
    <mergeCell ref="A19:C19"/>
    <mergeCell ref="A27:C27"/>
    <mergeCell ref="A35:C35"/>
    <mergeCell ref="A43:C43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AN138:AQ138"/>
    <mergeCell ref="A139:C139"/>
    <mergeCell ref="D139:G139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T162:W162"/>
    <mergeCell ref="X162:AA162"/>
    <mergeCell ref="AB162:AE162"/>
    <mergeCell ref="AF162:AI162"/>
    <mergeCell ref="AJ162:AM162"/>
    <mergeCell ref="AN156:AQ156"/>
    <mergeCell ref="C159:E159"/>
    <mergeCell ref="F159:K159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H163:K163"/>
    <mergeCell ref="L163:O163"/>
    <mergeCell ref="P163:S163"/>
    <mergeCell ref="T163:W163"/>
    <mergeCell ref="X163:AA163"/>
    <mergeCell ref="AB163:AE163"/>
    <mergeCell ref="AF163:AI163"/>
    <mergeCell ref="AJ163:AM163"/>
    <mergeCell ref="AN163:AQ163"/>
    <mergeCell ref="D162:G162"/>
    <mergeCell ref="H162:K162"/>
    <mergeCell ref="L162:O162"/>
    <mergeCell ref="P162:S162"/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U169:AW169"/>
    <mergeCell ref="AX169:AZ169"/>
    <mergeCell ref="E170:H170"/>
    <mergeCell ref="I170:L170"/>
    <mergeCell ref="M170:P170"/>
    <mergeCell ref="Q170:T170"/>
    <mergeCell ref="U170:X170"/>
    <mergeCell ref="Y170:AB170"/>
    <mergeCell ref="AC170:AF170"/>
    <mergeCell ref="AG170:AJ170"/>
    <mergeCell ref="AK170:AN170"/>
    <mergeCell ref="AO170:AR170"/>
    <mergeCell ref="D167:F167"/>
    <mergeCell ref="G167:L167"/>
    <mergeCell ref="M167:N167"/>
    <mergeCell ref="AJ167:AM167"/>
    <mergeCell ref="AO167:AR167"/>
    <mergeCell ref="AU167:AZ167"/>
    <mergeCell ref="D168:F168"/>
    <mergeCell ref="G168:L168"/>
    <mergeCell ref="M168:N168"/>
    <mergeCell ref="AJ168:AM168"/>
    <mergeCell ref="AO168:AR168"/>
    <mergeCell ref="AU168:AW168"/>
    <mergeCell ref="AX168:AZ168"/>
    <mergeCell ref="AK171:AN171"/>
    <mergeCell ref="AO171:AR171"/>
    <mergeCell ref="E172:H172"/>
    <mergeCell ref="I172:L172"/>
    <mergeCell ref="M172:P172"/>
    <mergeCell ref="Q172:T172"/>
    <mergeCell ref="U172:X172"/>
    <mergeCell ref="Y172:AB172"/>
    <mergeCell ref="AC172:AF172"/>
    <mergeCell ref="AG172:AJ172"/>
    <mergeCell ref="AK172:AN172"/>
    <mergeCell ref="AO172:AR172"/>
    <mergeCell ref="B171:D171"/>
    <mergeCell ref="E171:H171"/>
    <mergeCell ref="I171:L171"/>
    <mergeCell ref="M171:P171"/>
    <mergeCell ref="Q171:T171"/>
    <mergeCell ref="U171:X171"/>
    <mergeCell ref="Y171:AB171"/>
    <mergeCell ref="AC171:AF171"/>
    <mergeCell ref="AG171:AJ171"/>
    <mergeCell ref="AU177:AW177"/>
    <mergeCell ref="AX177:AZ177"/>
    <mergeCell ref="E178:H178"/>
    <mergeCell ref="I178:L178"/>
    <mergeCell ref="M178:P178"/>
    <mergeCell ref="Q178:T178"/>
    <mergeCell ref="U178:X178"/>
    <mergeCell ref="Y178:AB178"/>
    <mergeCell ref="AC178:AF178"/>
    <mergeCell ref="AG178:AJ178"/>
    <mergeCell ref="AK178:AN178"/>
    <mergeCell ref="AO178:AR178"/>
    <mergeCell ref="D175:F175"/>
    <mergeCell ref="G175:L175"/>
    <mergeCell ref="M175:N175"/>
    <mergeCell ref="AJ175:AM175"/>
    <mergeCell ref="AO175:AR175"/>
    <mergeCell ref="AU175:AZ175"/>
    <mergeCell ref="D176:F176"/>
    <mergeCell ref="G176:L176"/>
    <mergeCell ref="M176:N176"/>
    <mergeCell ref="AJ176:AM176"/>
    <mergeCell ref="AO176:AR176"/>
    <mergeCell ref="AU176:AW176"/>
    <mergeCell ref="AX176:AZ176"/>
    <mergeCell ref="AK179:AN179"/>
    <mergeCell ref="AO179:AR179"/>
    <mergeCell ref="E180:H180"/>
    <mergeCell ref="I180:L180"/>
    <mergeCell ref="M180:P180"/>
    <mergeCell ref="Q180:T180"/>
    <mergeCell ref="U180:X180"/>
    <mergeCell ref="Y180:AB180"/>
    <mergeCell ref="AC180:AF180"/>
    <mergeCell ref="AG180:AJ180"/>
    <mergeCell ref="AK180:AN180"/>
    <mergeCell ref="AO180:AR180"/>
    <mergeCell ref="B179:D179"/>
    <mergeCell ref="E179:H179"/>
    <mergeCell ref="I179:L179"/>
    <mergeCell ref="M179:P179"/>
    <mergeCell ref="Q179:T179"/>
    <mergeCell ref="U179:X179"/>
    <mergeCell ref="Y179:AB179"/>
    <mergeCell ref="AC179:AF179"/>
    <mergeCell ref="AG179:AJ179"/>
    <mergeCell ref="AU185:AW185"/>
    <mergeCell ref="AX185:AZ185"/>
    <mergeCell ref="E186:H186"/>
    <mergeCell ref="I186:L186"/>
    <mergeCell ref="M186:P186"/>
    <mergeCell ref="Q186:T186"/>
    <mergeCell ref="U186:X186"/>
    <mergeCell ref="Y186:AB186"/>
    <mergeCell ref="AC186:AF186"/>
    <mergeCell ref="AG186:AJ186"/>
    <mergeCell ref="AK186:AN186"/>
    <mergeCell ref="AO186:AR186"/>
    <mergeCell ref="D183:F183"/>
    <mergeCell ref="G183:L183"/>
    <mergeCell ref="M183:N183"/>
    <mergeCell ref="AJ183:AM183"/>
    <mergeCell ref="AO183:AR183"/>
    <mergeCell ref="AU183:AZ183"/>
    <mergeCell ref="D184:F184"/>
    <mergeCell ref="G184:L184"/>
    <mergeCell ref="M184:N184"/>
    <mergeCell ref="AJ184:AM184"/>
    <mergeCell ref="AO184:AR184"/>
    <mergeCell ref="AU184:AW184"/>
    <mergeCell ref="AX184:AZ184"/>
    <mergeCell ref="AK187:AN187"/>
    <mergeCell ref="AO187:AR187"/>
    <mergeCell ref="E188:H188"/>
    <mergeCell ref="I188:L188"/>
    <mergeCell ref="M188:P188"/>
    <mergeCell ref="Q188:T188"/>
    <mergeCell ref="U188:X188"/>
    <mergeCell ref="Y188:AB188"/>
    <mergeCell ref="AC188:AF188"/>
    <mergeCell ref="AG188:AJ188"/>
    <mergeCell ref="AK188:AN188"/>
    <mergeCell ref="AO188:AR188"/>
    <mergeCell ref="B187:D187"/>
    <mergeCell ref="E187:H187"/>
    <mergeCell ref="I187:L187"/>
    <mergeCell ref="M187:P187"/>
    <mergeCell ref="Q187:T187"/>
    <mergeCell ref="U187:X187"/>
    <mergeCell ref="Y187:AB187"/>
    <mergeCell ref="AC187:AF187"/>
    <mergeCell ref="AG187:AJ187"/>
    <mergeCell ref="AU193:AW193"/>
    <mergeCell ref="AX193:AZ193"/>
    <mergeCell ref="E194:H194"/>
    <mergeCell ref="I194:L194"/>
    <mergeCell ref="M194:P194"/>
    <mergeCell ref="Q194:T194"/>
    <mergeCell ref="U194:X194"/>
    <mergeCell ref="Y194:AB194"/>
    <mergeCell ref="AC194:AF194"/>
    <mergeCell ref="AG194:AJ194"/>
    <mergeCell ref="AK194:AN194"/>
    <mergeCell ref="AO194:AR194"/>
    <mergeCell ref="D191:F191"/>
    <mergeCell ref="G191:L191"/>
    <mergeCell ref="M191:N191"/>
    <mergeCell ref="AJ191:AM191"/>
    <mergeCell ref="AO191:AR191"/>
    <mergeCell ref="AU191:AZ191"/>
    <mergeCell ref="D192:F192"/>
    <mergeCell ref="G192:L192"/>
    <mergeCell ref="M192:N192"/>
    <mergeCell ref="AJ192:AM192"/>
    <mergeCell ref="AO192:AR192"/>
    <mergeCell ref="AU192:AW192"/>
    <mergeCell ref="AX192:AZ192"/>
    <mergeCell ref="AK195:AN195"/>
    <mergeCell ref="AO195:AR195"/>
    <mergeCell ref="E196:H196"/>
    <mergeCell ref="I196:L196"/>
    <mergeCell ref="M196:P196"/>
    <mergeCell ref="Q196:T196"/>
    <mergeCell ref="U196:X196"/>
    <mergeCell ref="Y196:AB196"/>
    <mergeCell ref="AC196:AF196"/>
    <mergeCell ref="AG196:AJ196"/>
    <mergeCell ref="AK196:AN196"/>
    <mergeCell ref="AO196:AR196"/>
    <mergeCell ref="B195:D195"/>
    <mergeCell ref="E195:H195"/>
    <mergeCell ref="I195:L195"/>
    <mergeCell ref="M195:P195"/>
    <mergeCell ref="Q195:T195"/>
    <mergeCell ref="U195:X195"/>
    <mergeCell ref="Y195:AB195"/>
    <mergeCell ref="AC195:AF195"/>
    <mergeCell ref="AG195:AJ195"/>
    <mergeCell ref="AU201:AW201"/>
    <mergeCell ref="AX201:AZ201"/>
    <mergeCell ref="E202:H202"/>
    <mergeCell ref="I202:L202"/>
    <mergeCell ref="M202:P202"/>
    <mergeCell ref="Q202:T202"/>
    <mergeCell ref="U202:X202"/>
    <mergeCell ref="Y202:AB202"/>
    <mergeCell ref="AC202:AF202"/>
    <mergeCell ref="AG202:AJ202"/>
    <mergeCell ref="AK202:AN202"/>
    <mergeCell ref="AO202:AR202"/>
    <mergeCell ref="D199:F199"/>
    <mergeCell ref="G199:L199"/>
    <mergeCell ref="M199:N199"/>
    <mergeCell ref="AJ199:AM199"/>
    <mergeCell ref="AO199:AR199"/>
    <mergeCell ref="AU199:AZ199"/>
    <mergeCell ref="D200:F200"/>
    <mergeCell ref="G200:L200"/>
    <mergeCell ref="M200:N200"/>
    <mergeCell ref="AJ200:AM200"/>
    <mergeCell ref="AO200:AR200"/>
    <mergeCell ref="AU200:AW200"/>
    <mergeCell ref="AX200:AZ200"/>
    <mergeCell ref="AK203:AN203"/>
    <mergeCell ref="AO203:AR203"/>
    <mergeCell ref="E204:H204"/>
    <mergeCell ref="I204:L204"/>
    <mergeCell ref="M204:P204"/>
    <mergeCell ref="Q204:T204"/>
    <mergeCell ref="U204:X204"/>
    <mergeCell ref="Y204:AB204"/>
    <mergeCell ref="AC204:AF204"/>
    <mergeCell ref="AG204:AJ204"/>
    <mergeCell ref="AK204:AN204"/>
    <mergeCell ref="AO204:AR204"/>
    <mergeCell ref="B203:D203"/>
    <mergeCell ref="E203:H203"/>
    <mergeCell ref="I203:L203"/>
    <mergeCell ref="M203:P203"/>
    <mergeCell ref="Q203:T203"/>
    <mergeCell ref="U203:X203"/>
    <mergeCell ref="Y203:AB203"/>
    <mergeCell ref="AC203:AF203"/>
    <mergeCell ref="AG203:AJ203"/>
    <mergeCell ref="AU209:AW209"/>
    <mergeCell ref="AX209:AZ209"/>
    <mergeCell ref="E210:H210"/>
    <mergeCell ref="I210:L210"/>
    <mergeCell ref="M210:P210"/>
    <mergeCell ref="Q210:T210"/>
    <mergeCell ref="U210:X210"/>
    <mergeCell ref="Y210:AB210"/>
    <mergeCell ref="AC210:AF210"/>
    <mergeCell ref="AG210:AJ210"/>
    <mergeCell ref="AK210:AN210"/>
    <mergeCell ref="AO210:AR210"/>
    <mergeCell ref="D207:F207"/>
    <mergeCell ref="G207:L207"/>
    <mergeCell ref="M207:N207"/>
    <mergeCell ref="AJ207:AM207"/>
    <mergeCell ref="AO207:AR207"/>
    <mergeCell ref="AU207:AZ207"/>
    <mergeCell ref="D208:F208"/>
    <mergeCell ref="G208:L208"/>
    <mergeCell ref="M208:N208"/>
    <mergeCell ref="AJ208:AM208"/>
    <mergeCell ref="AO208:AR208"/>
    <mergeCell ref="AU208:AW208"/>
    <mergeCell ref="AX208:AZ208"/>
    <mergeCell ref="AK211:AN211"/>
    <mergeCell ref="AO211:AR211"/>
    <mergeCell ref="E212:H212"/>
    <mergeCell ref="I212:L212"/>
    <mergeCell ref="M212:P212"/>
    <mergeCell ref="Q212:T212"/>
    <mergeCell ref="U212:X212"/>
    <mergeCell ref="Y212:AB212"/>
    <mergeCell ref="AC212:AF212"/>
    <mergeCell ref="AG212:AJ212"/>
    <mergeCell ref="AK212:AN212"/>
    <mergeCell ref="AO212:AR212"/>
    <mergeCell ref="B211:D211"/>
    <mergeCell ref="E211:H211"/>
    <mergeCell ref="I211:L211"/>
    <mergeCell ref="M211:P211"/>
    <mergeCell ref="Q211:T211"/>
    <mergeCell ref="U211:X211"/>
    <mergeCell ref="Y211:AB211"/>
    <mergeCell ref="AC211:AF211"/>
    <mergeCell ref="AG211:AJ211"/>
    <mergeCell ref="AU217:AW217"/>
    <mergeCell ref="AX217:AZ217"/>
    <mergeCell ref="E218:H218"/>
    <mergeCell ref="I218:L218"/>
    <mergeCell ref="M218:P218"/>
    <mergeCell ref="Q218:T218"/>
    <mergeCell ref="U218:X218"/>
    <mergeCell ref="Y218:AB218"/>
    <mergeCell ref="AC218:AF218"/>
    <mergeCell ref="AG218:AJ218"/>
    <mergeCell ref="AK218:AN218"/>
    <mergeCell ref="AO218:AR218"/>
    <mergeCell ref="D215:F215"/>
    <mergeCell ref="G215:L215"/>
    <mergeCell ref="M215:N215"/>
    <mergeCell ref="AJ215:AM215"/>
    <mergeCell ref="AO215:AR215"/>
    <mergeCell ref="AU215:AZ215"/>
    <mergeCell ref="D216:F216"/>
    <mergeCell ref="G216:L216"/>
    <mergeCell ref="M216:N216"/>
    <mergeCell ref="AJ216:AM216"/>
    <mergeCell ref="AO216:AR216"/>
    <mergeCell ref="AU216:AW216"/>
    <mergeCell ref="AX216:AZ216"/>
    <mergeCell ref="AK219:AN219"/>
    <mergeCell ref="AO219:AR219"/>
    <mergeCell ref="E220:H220"/>
    <mergeCell ref="I220:L220"/>
    <mergeCell ref="M220:P220"/>
    <mergeCell ref="Q220:T220"/>
    <mergeCell ref="U220:X220"/>
    <mergeCell ref="Y220:AB220"/>
    <mergeCell ref="AC220:AF220"/>
    <mergeCell ref="AG220:AJ220"/>
    <mergeCell ref="AK220:AN220"/>
    <mergeCell ref="AO220:AR220"/>
    <mergeCell ref="B219:D219"/>
    <mergeCell ref="E219:H219"/>
    <mergeCell ref="I219:L219"/>
    <mergeCell ref="M219:P219"/>
    <mergeCell ref="Q219:T219"/>
    <mergeCell ref="U219:X219"/>
    <mergeCell ref="Y219:AB219"/>
    <mergeCell ref="AC219:AF219"/>
    <mergeCell ref="AG219:AJ219"/>
    <mergeCell ref="AU225:AW225"/>
    <mergeCell ref="AX225:AZ225"/>
    <mergeCell ref="E226:H226"/>
    <mergeCell ref="I226:L226"/>
    <mergeCell ref="M226:P226"/>
    <mergeCell ref="Q226:T226"/>
    <mergeCell ref="U226:X226"/>
    <mergeCell ref="Y226:AB226"/>
    <mergeCell ref="AC226:AF226"/>
    <mergeCell ref="AG226:AJ226"/>
    <mergeCell ref="AK226:AN226"/>
    <mergeCell ref="AO226:AR226"/>
    <mergeCell ref="D223:F223"/>
    <mergeCell ref="G223:L223"/>
    <mergeCell ref="M223:N223"/>
    <mergeCell ref="AJ223:AM223"/>
    <mergeCell ref="AO223:AR223"/>
    <mergeCell ref="AU223:AZ223"/>
    <mergeCell ref="D224:F224"/>
    <mergeCell ref="G224:L224"/>
    <mergeCell ref="M224:N224"/>
    <mergeCell ref="AJ224:AM224"/>
    <mergeCell ref="AO224:AR224"/>
    <mergeCell ref="AU224:AW224"/>
    <mergeCell ref="AX224:AZ224"/>
    <mergeCell ref="AK227:AN227"/>
    <mergeCell ref="AO227:AR227"/>
    <mergeCell ref="E228:H228"/>
    <mergeCell ref="I228:L228"/>
    <mergeCell ref="M228:P228"/>
    <mergeCell ref="Q228:T228"/>
    <mergeCell ref="U228:X228"/>
    <mergeCell ref="Y228:AB228"/>
    <mergeCell ref="AC228:AF228"/>
    <mergeCell ref="AG228:AJ228"/>
    <mergeCell ref="AK228:AN228"/>
    <mergeCell ref="AO228:AR228"/>
    <mergeCell ref="B227:D227"/>
    <mergeCell ref="E227:H227"/>
    <mergeCell ref="I227:L227"/>
    <mergeCell ref="M227:P227"/>
    <mergeCell ref="Q227:T227"/>
    <mergeCell ref="U227:X227"/>
    <mergeCell ref="Y227:AB227"/>
    <mergeCell ref="AC227:AF227"/>
    <mergeCell ref="AG227:AJ227"/>
    <mergeCell ref="D439:F439"/>
    <mergeCell ref="G439:L439"/>
    <mergeCell ref="M439:N439"/>
    <mergeCell ref="AJ439:AM439"/>
    <mergeCell ref="AO439:AR439"/>
    <mergeCell ref="AU439:AZ439"/>
    <mergeCell ref="D440:F440"/>
    <mergeCell ref="G440:L440"/>
    <mergeCell ref="M440:N440"/>
    <mergeCell ref="AJ440:AM440"/>
    <mergeCell ref="AO440:AR440"/>
    <mergeCell ref="AU440:AW440"/>
    <mergeCell ref="AX440:AZ440"/>
    <mergeCell ref="AU441:AW441"/>
    <mergeCell ref="AX441:AZ441"/>
    <mergeCell ref="E442:H442"/>
    <mergeCell ref="I442:L442"/>
    <mergeCell ref="M442:P442"/>
    <mergeCell ref="Q442:T442"/>
    <mergeCell ref="U442:X442"/>
    <mergeCell ref="Y442:AB442"/>
    <mergeCell ref="AC442:AF442"/>
    <mergeCell ref="AG442:AJ442"/>
    <mergeCell ref="AK442:AN442"/>
    <mergeCell ref="AO442:AR442"/>
    <mergeCell ref="B443:D443"/>
    <mergeCell ref="E443:H443"/>
    <mergeCell ref="I443:L443"/>
    <mergeCell ref="M443:P443"/>
    <mergeCell ref="Q443:T443"/>
    <mergeCell ref="U443:X443"/>
    <mergeCell ref="Y443:AB443"/>
    <mergeCell ref="AC443:AF443"/>
    <mergeCell ref="AG443:AJ443"/>
    <mergeCell ref="AK443:AN443"/>
    <mergeCell ref="AO443:AR443"/>
    <mergeCell ref="E444:H444"/>
    <mergeCell ref="I444:L444"/>
    <mergeCell ref="M444:P444"/>
    <mergeCell ref="Q444:T444"/>
    <mergeCell ref="U444:X444"/>
    <mergeCell ref="Y444:AB444"/>
    <mergeCell ref="AC444:AF444"/>
    <mergeCell ref="AG444:AJ444"/>
    <mergeCell ref="AK444:AN444"/>
    <mergeCell ref="AO444:AR444"/>
    <mergeCell ref="D447:F447"/>
    <mergeCell ref="G447:L447"/>
    <mergeCell ref="M447:N447"/>
    <mergeCell ref="AJ447:AM447"/>
    <mergeCell ref="AO447:AR447"/>
    <mergeCell ref="AU447:AZ447"/>
    <mergeCell ref="D448:F448"/>
    <mergeCell ref="G448:L448"/>
    <mergeCell ref="M448:N448"/>
    <mergeCell ref="AJ448:AM448"/>
    <mergeCell ref="AO448:AR448"/>
    <mergeCell ref="AU448:AW448"/>
    <mergeCell ref="AX448:AZ448"/>
    <mergeCell ref="AU449:AW449"/>
    <mergeCell ref="AX449:AZ449"/>
    <mergeCell ref="E450:H450"/>
    <mergeCell ref="I450:L450"/>
    <mergeCell ref="M450:P450"/>
    <mergeCell ref="Q450:T450"/>
    <mergeCell ref="U450:X450"/>
    <mergeCell ref="Y450:AB450"/>
    <mergeCell ref="AC450:AF450"/>
    <mergeCell ref="AG450:AJ450"/>
    <mergeCell ref="AK450:AN450"/>
    <mergeCell ref="AO450:AR450"/>
    <mergeCell ref="B451:D451"/>
    <mergeCell ref="E451:H451"/>
    <mergeCell ref="I451:L451"/>
    <mergeCell ref="M451:P451"/>
    <mergeCell ref="Q451:T451"/>
    <mergeCell ref="U451:X451"/>
    <mergeCell ref="Y451:AB451"/>
    <mergeCell ref="AC451:AF451"/>
    <mergeCell ref="AG451:AJ451"/>
    <mergeCell ref="AK451:AN451"/>
    <mergeCell ref="AO451:AR451"/>
    <mergeCell ref="E452:H452"/>
    <mergeCell ref="I452:L452"/>
    <mergeCell ref="M452:P452"/>
    <mergeCell ref="Q452:T452"/>
    <mergeCell ref="U452:X452"/>
    <mergeCell ref="Y452:AB452"/>
    <mergeCell ref="AC452:AF452"/>
    <mergeCell ref="AG452:AJ452"/>
    <mergeCell ref="AK452:AN452"/>
    <mergeCell ref="AO452:AR452"/>
    <mergeCell ref="D455:F455"/>
    <mergeCell ref="G455:L455"/>
    <mergeCell ref="M455:N455"/>
    <mergeCell ref="AJ455:AM455"/>
    <mergeCell ref="AO455:AR455"/>
    <mergeCell ref="AU455:AZ455"/>
    <mergeCell ref="D456:F456"/>
    <mergeCell ref="G456:L456"/>
    <mergeCell ref="M456:N456"/>
    <mergeCell ref="AJ456:AM456"/>
    <mergeCell ref="AO456:AR456"/>
    <mergeCell ref="AU456:AW456"/>
    <mergeCell ref="AX456:AZ456"/>
    <mergeCell ref="AU457:AW457"/>
    <mergeCell ref="AX457:AZ457"/>
    <mergeCell ref="E458:H458"/>
    <mergeCell ref="I458:L458"/>
    <mergeCell ref="M458:P458"/>
    <mergeCell ref="Q458:T458"/>
    <mergeCell ref="U458:X458"/>
    <mergeCell ref="Y458:AB458"/>
    <mergeCell ref="AC458:AF458"/>
    <mergeCell ref="AG458:AJ458"/>
    <mergeCell ref="AK458:AN458"/>
    <mergeCell ref="AO458:AR458"/>
    <mergeCell ref="B459:D459"/>
    <mergeCell ref="E459:H459"/>
    <mergeCell ref="I459:L459"/>
    <mergeCell ref="M459:P459"/>
    <mergeCell ref="Q459:T459"/>
    <mergeCell ref="U459:X459"/>
    <mergeCell ref="Y459:AB459"/>
    <mergeCell ref="AC459:AF459"/>
    <mergeCell ref="AG459:AJ459"/>
    <mergeCell ref="AK459:AN459"/>
    <mergeCell ref="AO459:AR459"/>
    <mergeCell ref="E460:H460"/>
    <mergeCell ref="I460:L460"/>
    <mergeCell ref="M460:P460"/>
    <mergeCell ref="Q460:T460"/>
    <mergeCell ref="U460:X460"/>
    <mergeCell ref="Y460:AB460"/>
    <mergeCell ref="AC460:AF460"/>
    <mergeCell ref="AG460:AJ460"/>
    <mergeCell ref="AK460:AN460"/>
    <mergeCell ref="AO460:AR460"/>
    <mergeCell ref="D463:F463"/>
    <mergeCell ref="G463:L463"/>
    <mergeCell ref="M463:N463"/>
    <mergeCell ref="AJ463:AM463"/>
    <mergeCell ref="AO463:AR463"/>
    <mergeCell ref="AU463:AZ463"/>
    <mergeCell ref="D464:F464"/>
    <mergeCell ref="G464:L464"/>
    <mergeCell ref="M464:N464"/>
    <mergeCell ref="AJ464:AM464"/>
    <mergeCell ref="AO464:AR464"/>
    <mergeCell ref="AU464:AW464"/>
    <mergeCell ref="AX464:AZ464"/>
    <mergeCell ref="AU465:AW465"/>
    <mergeCell ref="AX465:AZ465"/>
    <mergeCell ref="E466:H466"/>
    <mergeCell ref="I466:L466"/>
    <mergeCell ref="M466:P466"/>
    <mergeCell ref="Q466:T466"/>
    <mergeCell ref="U466:X466"/>
    <mergeCell ref="Y466:AB466"/>
    <mergeCell ref="AC466:AF466"/>
    <mergeCell ref="AG466:AJ466"/>
    <mergeCell ref="AK466:AN466"/>
    <mergeCell ref="AO466:AR466"/>
    <mergeCell ref="B467:D467"/>
    <mergeCell ref="E467:H467"/>
    <mergeCell ref="I467:L467"/>
    <mergeCell ref="M467:P467"/>
    <mergeCell ref="Q467:T467"/>
    <mergeCell ref="U467:X467"/>
    <mergeCell ref="Y467:AB467"/>
    <mergeCell ref="AC467:AF467"/>
    <mergeCell ref="AG467:AJ467"/>
    <mergeCell ref="AK467:AN467"/>
    <mergeCell ref="AO467:AR467"/>
    <mergeCell ref="E468:H468"/>
    <mergeCell ref="I468:L468"/>
    <mergeCell ref="M468:P468"/>
    <mergeCell ref="Q468:T468"/>
    <mergeCell ref="U468:X468"/>
    <mergeCell ref="Y468:AB468"/>
    <mergeCell ref="AC468:AF468"/>
    <mergeCell ref="AG468:AJ468"/>
    <mergeCell ref="AK468:AN468"/>
    <mergeCell ref="AO468:AR468"/>
    <mergeCell ref="D471:F471"/>
    <mergeCell ref="G471:L471"/>
    <mergeCell ref="M471:N471"/>
    <mergeCell ref="AJ471:AM471"/>
    <mergeCell ref="AO471:AR471"/>
    <mergeCell ref="AU471:AZ471"/>
    <mergeCell ref="D472:F472"/>
    <mergeCell ref="G472:L472"/>
    <mergeCell ref="M472:N472"/>
    <mergeCell ref="AJ472:AM472"/>
    <mergeCell ref="AO472:AR472"/>
    <mergeCell ref="AU472:AW472"/>
    <mergeCell ref="AX472:AZ472"/>
    <mergeCell ref="AU473:AW473"/>
    <mergeCell ref="AX473:AZ473"/>
    <mergeCell ref="E474:H474"/>
    <mergeCell ref="I474:L474"/>
    <mergeCell ref="M474:P474"/>
    <mergeCell ref="Q474:T474"/>
    <mergeCell ref="U474:X474"/>
    <mergeCell ref="Y474:AB474"/>
    <mergeCell ref="AC474:AF474"/>
    <mergeCell ref="AG474:AJ474"/>
    <mergeCell ref="AK474:AN474"/>
    <mergeCell ref="AO474:AR474"/>
    <mergeCell ref="B475:D475"/>
    <mergeCell ref="E475:H475"/>
    <mergeCell ref="I475:L475"/>
    <mergeCell ref="M475:P475"/>
    <mergeCell ref="Q475:T475"/>
    <mergeCell ref="U475:X475"/>
    <mergeCell ref="Y475:AB475"/>
    <mergeCell ref="AC475:AF475"/>
    <mergeCell ref="AG475:AJ475"/>
    <mergeCell ref="AK475:AN475"/>
    <mergeCell ref="AO475:AR475"/>
    <mergeCell ref="E476:H476"/>
    <mergeCell ref="I476:L476"/>
    <mergeCell ref="M476:P476"/>
    <mergeCell ref="Q476:T476"/>
    <mergeCell ref="U476:X476"/>
    <mergeCell ref="Y476:AB476"/>
    <mergeCell ref="AC476:AF476"/>
    <mergeCell ref="AG476:AJ476"/>
    <mergeCell ref="AK476:AN476"/>
    <mergeCell ref="AO476:AR476"/>
    <mergeCell ref="D479:F479"/>
    <mergeCell ref="G479:L479"/>
    <mergeCell ref="M479:N479"/>
    <mergeCell ref="AJ479:AM479"/>
    <mergeCell ref="AO479:AR479"/>
    <mergeCell ref="AU479:AZ479"/>
    <mergeCell ref="D480:F480"/>
    <mergeCell ref="G480:L480"/>
    <mergeCell ref="M480:N480"/>
    <mergeCell ref="AJ480:AM480"/>
    <mergeCell ref="AO480:AR480"/>
    <mergeCell ref="AU480:AW480"/>
    <mergeCell ref="AX480:AZ480"/>
    <mergeCell ref="AU481:AW481"/>
    <mergeCell ref="AX481:AZ481"/>
    <mergeCell ref="E482:H482"/>
    <mergeCell ref="I482:L482"/>
    <mergeCell ref="M482:P482"/>
    <mergeCell ref="Q482:T482"/>
    <mergeCell ref="U482:X482"/>
    <mergeCell ref="Y482:AB482"/>
    <mergeCell ref="AC482:AF482"/>
    <mergeCell ref="AG482:AJ482"/>
    <mergeCell ref="AK482:AN482"/>
    <mergeCell ref="AO482:AR482"/>
    <mergeCell ref="B483:D483"/>
    <mergeCell ref="E483:H483"/>
    <mergeCell ref="I483:L483"/>
    <mergeCell ref="M483:P483"/>
    <mergeCell ref="Q483:T483"/>
    <mergeCell ref="U483:X483"/>
    <mergeCell ref="Y483:AB483"/>
    <mergeCell ref="AC483:AF483"/>
    <mergeCell ref="AG483:AJ483"/>
    <mergeCell ref="AK483:AN483"/>
    <mergeCell ref="AO483:AR483"/>
    <mergeCell ref="E484:H484"/>
    <mergeCell ref="I484:L484"/>
    <mergeCell ref="M484:P484"/>
    <mergeCell ref="Q484:T484"/>
    <mergeCell ref="U484:X484"/>
    <mergeCell ref="Y484:AB484"/>
    <mergeCell ref="AC484:AF484"/>
    <mergeCell ref="AG484:AJ484"/>
    <mergeCell ref="AK484:AN484"/>
    <mergeCell ref="AO484:AR484"/>
    <mergeCell ref="D487:F487"/>
    <mergeCell ref="G487:L487"/>
    <mergeCell ref="M487:N487"/>
    <mergeCell ref="AJ487:AM487"/>
    <mergeCell ref="AO487:AR487"/>
    <mergeCell ref="AU487:AZ487"/>
    <mergeCell ref="D488:F488"/>
    <mergeCell ref="G488:L488"/>
    <mergeCell ref="M488:N488"/>
    <mergeCell ref="AJ488:AM488"/>
    <mergeCell ref="AO488:AR488"/>
    <mergeCell ref="AU488:AW488"/>
    <mergeCell ref="AX488:AZ488"/>
    <mergeCell ref="AU489:AW489"/>
    <mergeCell ref="AX489:AZ489"/>
    <mergeCell ref="E490:H490"/>
    <mergeCell ref="I490:L490"/>
    <mergeCell ref="M490:P490"/>
    <mergeCell ref="Q490:T490"/>
    <mergeCell ref="U490:X490"/>
    <mergeCell ref="Y490:AB490"/>
    <mergeCell ref="AC490:AF490"/>
    <mergeCell ref="AG490:AJ490"/>
    <mergeCell ref="AK490:AN490"/>
    <mergeCell ref="AO490:AR490"/>
    <mergeCell ref="B491:D491"/>
    <mergeCell ref="E491:H491"/>
    <mergeCell ref="I491:L491"/>
    <mergeCell ref="M491:P491"/>
    <mergeCell ref="Q491:T491"/>
    <mergeCell ref="U491:X491"/>
    <mergeCell ref="Y491:AB491"/>
    <mergeCell ref="AC491:AF491"/>
    <mergeCell ref="AG491:AJ491"/>
    <mergeCell ref="AK491:AN491"/>
    <mergeCell ref="AO491:AR491"/>
    <mergeCell ref="E492:H492"/>
    <mergeCell ref="I492:L492"/>
    <mergeCell ref="M492:P492"/>
    <mergeCell ref="Q492:T492"/>
    <mergeCell ref="U492:X492"/>
    <mergeCell ref="Y492:AB492"/>
    <mergeCell ref="AC492:AF492"/>
    <mergeCell ref="AG492:AJ492"/>
    <mergeCell ref="AK492:AN492"/>
    <mergeCell ref="AO492:AR492"/>
    <mergeCell ref="D495:F495"/>
    <mergeCell ref="G495:L495"/>
    <mergeCell ref="M495:N495"/>
    <mergeCell ref="AJ495:AM495"/>
    <mergeCell ref="AO495:AR495"/>
    <mergeCell ref="AU495:AZ495"/>
    <mergeCell ref="D496:F496"/>
    <mergeCell ref="G496:L496"/>
    <mergeCell ref="M496:N496"/>
    <mergeCell ref="AJ496:AM496"/>
    <mergeCell ref="AO496:AR496"/>
    <mergeCell ref="AU496:AW496"/>
    <mergeCell ref="AX496:AZ496"/>
    <mergeCell ref="AU497:AW497"/>
    <mergeCell ref="AX497:AZ497"/>
    <mergeCell ref="E498:H498"/>
    <mergeCell ref="I498:L498"/>
    <mergeCell ref="M498:P498"/>
    <mergeCell ref="Q498:T498"/>
    <mergeCell ref="U498:X498"/>
    <mergeCell ref="Y498:AB498"/>
    <mergeCell ref="AC498:AF498"/>
    <mergeCell ref="AG498:AJ498"/>
    <mergeCell ref="AK498:AN498"/>
    <mergeCell ref="AO498:AR498"/>
    <mergeCell ref="B499:D499"/>
    <mergeCell ref="E499:H499"/>
    <mergeCell ref="I499:L499"/>
    <mergeCell ref="M499:P499"/>
    <mergeCell ref="Q499:T499"/>
    <mergeCell ref="U499:X499"/>
    <mergeCell ref="Y499:AB499"/>
    <mergeCell ref="AC499:AF499"/>
    <mergeCell ref="AG499:AJ499"/>
    <mergeCell ref="AK499:AN499"/>
    <mergeCell ref="AO499:AR499"/>
    <mergeCell ref="E500:H500"/>
    <mergeCell ref="I500:L500"/>
    <mergeCell ref="M500:P500"/>
    <mergeCell ref="Q500:T500"/>
    <mergeCell ref="U500:X500"/>
    <mergeCell ref="Y500:AB500"/>
    <mergeCell ref="AC500:AF500"/>
    <mergeCell ref="AG500:AJ500"/>
    <mergeCell ref="AK500:AN500"/>
    <mergeCell ref="AO500:AR500"/>
    <mergeCell ref="D503:F503"/>
    <mergeCell ref="G503:L503"/>
    <mergeCell ref="M503:N503"/>
    <mergeCell ref="AJ503:AM503"/>
    <mergeCell ref="AO503:AR503"/>
    <mergeCell ref="AU503:AZ503"/>
    <mergeCell ref="D504:F504"/>
    <mergeCell ref="G504:L504"/>
    <mergeCell ref="M504:N504"/>
    <mergeCell ref="AJ504:AM504"/>
    <mergeCell ref="AO504:AR504"/>
    <mergeCell ref="AU504:AW504"/>
    <mergeCell ref="AX504:AZ504"/>
    <mergeCell ref="AU505:AW505"/>
    <mergeCell ref="AX505:AZ505"/>
    <mergeCell ref="E506:H506"/>
    <mergeCell ref="I506:L506"/>
    <mergeCell ref="M506:P506"/>
    <mergeCell ref="Q506:T506"/>
    <mergeCell ref="U506:X506"/>
    <mergeCell ref="Y506:AB506"/>
    <mergeCell ref="AC506:AF506"/>
    <mergeCell ref="AG506:AJ506"/>
    <mergeCell ref="AK506:AN506"/>
    <mergeCell ref="AO506:AR506"/>
    <mergeCell ref="B507:D507"/>
    <mergeCell ref="E507:H507"/>
    <mergeCell ref="I507:L507"/>
    <mergeCell ref="M507:P507"/>
    <mergeCell ref="Q507:T507"/>
    <mergeCell ref="U507:X507"/>
    <mergeCell ref="Y507:AB507"/>
    <mergeCell ref="AC507:AF507"/>
    <mergeCell ref="AG507:AJ507"/>
    <mergeCell ref="AK507:AN507"/>
    <mergeCell ref="AO507:AR507"/>
    <mergeCell ref="E508:H508"/>
    <mergeCell ref="I508:L508"/>
    <mergeCell ref="M508:P508"/>
    <mergeCell ref="Q508:T508"/>
    <mergeCell ref="U508:X508"/>
    <mergeCell ref="Y508:AB508"/>
    <mergeCell ref="AC508:AF508"/>
    <mergeCell ref="AG508:AJ508"/>
    <mergeCell ref="AK508:AN508"/>
    <mergeCell ref="AO508:AR508"/>
    <mergeCell ref="D511:F511"/>
    <mergeCell ref="G511:L511"/>
    <mergeCell ref="M511:N511"/>
    <mergeCell ref="AJ511:AM511"/>
    <mergeCell ref="AO511:AR511"/>
    <mergeCell ref="AU511:AZ511"/>
    <mergeCell ref="D512:F512"/>
    <mergeCell ref="G512:L512"/>
    <mergeCell ref="M512:N512"/>
    <mergeCell ref="AJ512:AM512"/>
    <mergeCell ref="AO512:AR512"/>
    <mergeCell ref="AU512:AW512"/>
    <mergeCell ref="AX512:AZ512"/>
    <mergeCell ref="AU513:AW513"/>
    <mergeCell ref="AX513:AZ513"/>
    <mergeCell ref="E514:H514"/>
    <mergeCell ref="I514:L514"/>
    <mergeCell ref="M514:P514"/>
    <mergeCell ref="Q514:T514"/>
    <mergeCell ref="U514:X514"/>
    <mergeCell ref="Y514:AB514"/>
    <mergeCell ref="AC514:AF514"/>
    <mergeCell ref="AG514:AJ514"/>
    <mergeCell ref="AK514:AN514"/>
    <mergeCell ref="AO514:AR514"/>
    <mergeCell ref="B515:D515"/>
    <mergeCell ref="E515:H515"/>
    <mergeCell ref="I515:L515"/>
    <mergeCell ref="M515:P515"/>
    <mergeCell ref="Q515:T515"/>
    <mergeCell ref="U515:X515"/>
    <mergeCell ref="Y515:AB515"/>
    <mergeCell ref="AC515:AF515"/>
    <mergeCell ref="AG515:AJ515"/>
    <mergeCell ref="AK515:AN515"/>
    <mergeCell ref="AO515:AR515"/>
    <mergeCell ref="E516:H516"/>
    <mergeCell ref="I516:L516"/>
    <mergeCell ref="M516:P516"/>
    <mergeCell ref="Q516:T516"/>
    <mergeCell ref="U516:X516"/>
    <mergeCell ref="Y516:AB516"/>
    <mergeCell ref="AC516:AF516"/>
    <mergeCell ref="AG516:AJ516"/>
    <mergeCell ref="AK516:AN516"/>
    <mergeCell ref="AO516:AR516"/>
    <mergeCell ref="D519:F519"/>
    <mergeCell ref="G519:L519"/>
    <mergeCell ref="M519:N519"/>
    <mergeCell ref="AJ519:AM519"/>
    <mergeCell ref="AO519:AR519"/>
    <mergeCell ref="AU519:AZ519"/>
    <mergeCell ref="D520:F520"/>
    <mergeCell ref="G520:L520"/>
    <mergeCell ref="M520:N520"/>
    <mergeCell ref="AJ520:AM520"/>
    <mergeCell ref="AO520:AR520"/>
    <mergeCell ref="AU520:AW520"/>
    <mergeCell ref="AX520:AZ520"/>
    <mergeCell ref="AU521:AW521"/>
    <mergeCell ref="AX521:AZ521"/>
    <mergeCell ref="E522:H522"/>
    <mergeCell ref="I522:L522"/>
    <mergeCell ref="M522:P522"/>
    <mergeCell ref="Q522:T522"/>
    <mergeCell ref="U522:X522"/>
    <mergeCell ref="Y522:AB522"/>
    <mergeCell ref="AC522:AF522"/>
    <mergeCell ref="AG522:AJ522"/>
    <mergeCell ref="AK522:AN522"/>
    <mergeCell ref="AO522:AR522"/>
    <mergeCell ref="B523:D523"/>
    <mergeCell ref="E523:H523"/>
    <mergeCell ref="I523:L523"/>
    <mergeCell ref="M523:P523"/>
    <mergeCell ref="Q523:T523"/>
    <mergeCell ref="U523:X523"/>
    <mergeCell ref="Y523:AB523"/>
    <mergeCell ref="AC523:AF523"/>
    <mergeCell ref="AG523:AJ523"/>
    <mergeCell ref="AK523:AN523"/>
    <mergeCell ref="AO523:AR523"/>
    <mergeCell ref="E524:H524"/>
    <mergeCell ref="I524:L524"/>
    <mergeCell ref="M524:P524"/>
    <mergeCell ref="Q524:T524"/>
    <mergeCell ref="U524:X524"/>
    <mergeCell ref="Y524:AB524"/>
    <mergeCell ref="AC524:AF524"/>
    <mergeCell ref="AG524:AJ524"/>
    <mergeCell ref="AK524:AN524"/>
    <mergeCell ref="AO524:AR524"/>
    <mergeCell ref="D527:F527"/>
    <mergeCell ref="G527:L527"/>
    <mergeCell ref="M527:N527"/>
    <mergeCell ref="AJ527:AM527"/>
    <mergeCell ref="AO527:AR527"/>
    <mergeCell ref="AU527:AZ527"/>
    <mergeCell ref="D528:F528"/>
    <mergeCell ref="G528:L528"/>
    <mergeCell ref="M528:N528"/>
    <mergeCell ref="AJ528:AM528"/>
    <mergeCell ref="AO528:AR528"/>
    <mergeCell ref="AU528:AW528"/>
    <mergeCell ref="AX528:AZ528"/>
    <mergeCell ref="AU529:AW529"/>
    <mergeCell ref="AX529:AZ529"/>
    <mergeCell ref="E530:H530"/>
    <mergeCell ref="I530:L530"/>
    <mergeCell ref="M530:P530"/>
    <mergeCell ref="Q530:T530"/>
    <mergeCell ref="U530:X530"/>
    <mergeCell ref="Y530:AB530"/>
    <mergeCell ref="AC530:AF530"/>
    <mergeCell ref="AG530:AJ530"/>
    <mergeCell ref="AK530:AN530"/>
    <mergeCell ref="AO530:AR530"/>
    <mergeCell ref="B531:D531"/>
    <mergeCell ref="E531:H531"/>
    <mergeCell ref="I531:L531"/>
    <mergeCell ref="M531:P531"/>
    <mergeCell ref="Q531:T531"/>
    <mergeCell ref="U531:X531"/>
    <mergeCell ref="Y531:AB531"/>
    <mergeCell ref="AC531:AF531"/>
    <mergeCell ref="AG531:AJ531"/>
    <mergeCell ref="AK531:AN531"/>
    <mergeCell ref="AO531:AR531"/>
    <mergeCell ref="E532:H532"/>
    <mergeCell ref="I532:L532"/>
    <mergeCell ref="M532:P532"/>
    <mergeCell ref="Q532:T532"/>
    <mergeCell ref="U532:X532"/>
    <mergeCell ref="Y532:AB532"/>
    <mergeCell ref="AC532:AF532"/>
    <mergeCell ref="AG532:AJ532"/>
    <mergeCell ref="AK532:AN532"/>
    <mergeCell ref="AO532:AR532"/>
    <mergeCell ref="D688:F688"/>
    <mergeCell ref="G688:L688"/>
    <mergeCell ref="M688:N688"/>
    <mergeCell ref="AJ688:AM688"/>
    <mergeCell ref="AO688:AR688"/>
    <mergeCell ref="AU688:AZ688"/>
    <mergeCell ref="D689:F689"/>
    <mergeCell ref="G689:L689"/>
    <mergeCell ref="M689:N689"/>
    <mergeCell ref="AJ689:AM689"/>
    <mergeCell ref="AO689:AR689"/>
    <mergeCell ref="AU689:AW689"/>
    <mergeCell ref="AX689:AZ689"/>
    <mergeCell ref="AU690:AW690"/>
    <mergeCell ref="AX690:AZ690"/>
    <mergeCell ref="E691:H691"/>
    <mergeCell ref="I691:L691"/>
    <mergeCell ref="M691:P691"/>
    <mergeCell ref="Q691:T691"/>
    <mergeCell ref="U691:X691"/>
    <mergeCell ref="Y691:AB691"/>
    <mergeCell ref="AC691:AF691"/>
    <mergeCell ref="AG691:AJ691"/>
    <mergeCell ref="AK691:AN691"/>
    <mergeCell ref="AO691:AR691"/>
    <mergeCell ref="B692:D692"/>
    <mergeCell ref="E692:H692"/>
    <mergeCell ref="I692:L692"/>
    <mergeCell ref="M692:P692"/>
    <mergeCell ref="Q692:T692"/>
    <mergeCell ref="U692:X692"/>
    <mergeCell ref="Y692:AB692"/>
    <mergeCell ref="AC692:AF692"/>
    <mergeCell ref="AG692:AJ692"/>
    <mergeCell ref="AK692:AN692"/>
    <mergeCell ref="AO692:AR692"/>
    <mergeCell ref="E693:H693"/>
    <mergeCell ref="I693:L693"/>
    <mergeCell ref="M693:P693"/>
    <mergeCell ref="Q693:T693"/>
    <mergeCell ref="U693:X693"/>
    <mergeCell ref="Y693:AB693"/>
    <mergeCell ref="AC693:AF693"/>
    <mergeCell ref="AG693:AJ693"/>
    <mergeCell ref="AK693:AN693"/>
    <mergeCell ref="AO693:AR693"/>
    <mergeCell ref="D696:F696"/>
    <mergeCell ref="G696:L696"/>
    <mergeCell ref="M696:N696"/>
    <mergeCell ref="AJ696:AM696"/>
    <mergeCell ref="AO696:AR696"/>
    <mergeCell ref="AU696:AZ696"/>
    <mergeCell ref="D697:F697"/>
    <mergeCell ref="G697:L697"/>
    <mergeCell ref="M697:N697"/>
    <mergeCell ref="AJ697:AM697"/>
    <mergeCell ref="AO697:AR697"/>
    <mergeCell ref="AU697:AW697"/>
    <mergeCell ref="AX697:AZ697"/>
    <mergeCell ref="AU698:AW698"/>
    <mergeCell ref="AX698:AZ698"/>
    <mergeCell ref="E699:H699"/>
    <mergeCell ref="I699:L699"/>
    <mergeCell ref="M699:P699"/>
    <mergeCell ref="Q699:T699"/>
    <mergeCell ref="U699:X699"/>
    <mergeCell ref="Y699:AB699"/>
    <mergeCell ref="AC699:AF699"/>
    <mergeCell ref="AG699:AJ699"/>
    <mergeCell ref="AK699:AN699"/>
    <mergeCell ref="AO699:AR699"/>
    <mergeCell ref="B700:D700"/>
    <mergeCell ref="E700:H700"/>
    <mergeCell ref="I700:L700"/>
    <mergeCell ref="M700:P700"/>
    <mergeCell ref="Q700:T700"/>
    <mergeCell ref="U700:X700"/>
    <mergeCell ref="Y700:AB700"/>
    <mergeCell ref="AC700:AF700"/>
    <mergeCell ref="AG700:AJ700"/>
    <mergeCell ref="AK700:AN700"/>
    <mergeCell ref="AO700:AR700"/>
    <mergeCell ref="E701:H701"/>
    <mergeCell ref="I701:L701"/>
    <mergeCell ref="M701:P701"/>
    <mergeCell ref="Q701:T701"/>
    <mergeCell ref="U701:X701"/>
    <mergeCell ref="Y701:AB701"/>
    <mergeCell ref="AC701:AF701"/>
    <mergeCell ref="AG701:AJ701"/>
    <mergeCell ref="AK701:AN701"/>
    <mergeCell ref="AO701:AR701"/>
    <mergeCell ref="D704:F704"/>
    <mergeCell ref="G704:L704"/>
    <mergeCell ref="M704:N704"/>
    <mergeCell ref="AJ704:AM704"/>
    <mergeCell ref="AO704:AR704"/>
    <mergeCell ref="AU704:AZ704"/>
    <mergeCell ref="D705:F705"/>
    <mergeCell ref="G705:L705"/>
    <mergeCell ref="M705:N705"/>
    <mergeCell ref="AJ705:AM705"/>
    <mergeCell ref="AO705:AR705"/>
    <mergeCell ref="AU705:AW705"/>
    <mergeCell ref="AX705:AZ705"/>
    <mergeCell ref="AU706:AW706"/>
    <mergeCell ref="AX706:AZ706"/>
    <mergeCell ref="E707:H707"/>
    <mergeCell ref="I707:L707"/>
    <mergeCell ref="M707:P707"/>
    <mergeCell ref="Q707:T707"/>
    <mergeCell ref="U707:X707"/>
    <mergeCell ref="Y707:AB707"/>
    <mergeCell ref="AC707:AF707"/>
    <mergeCell ref="AG707:AJ707"/>
    <mergeCell ref="AK707:AN707"/>
    <mergeCell ref="AO707:AR707"/>
    <mergeCell ref="B708:D708"/>
    <mergeCell ref="E708:H708"/>
    <mergeCell ref="I708:L708"/>
    <mergeCell ref="M708:P708"/>
    <mergeCell ref="Q708:T708"/>
    <mergeCell ref="U708:X708"/>
    <mergeCell ref="Y708:AB708"/>
    <mergeCell ref="AC708:AF708"/>
    <mergeCell ref="AG708:AJ708"/>
    <mergeCell ref="AK708:AN708"/>
    <mergeCell ref="AO708:AR708"/>
    <mergeCell ref="E709:H709"/>
    <mergeCell ref="I709:L709"/>
    <mergeCell ref="M709:P709"/>
    <mergeCell ref="Q709:T709"/>
    <mergeCell ref="U709:X709"/>
    <mergeCell ref="Y709:AB709"/>
    <mergeCell ref="AC709:AF709"/>
    <mergeCell ref="AG709:AJ709"/>
    <mergeCell ref="AK709:AN709"/>
    <mergeCell ref="AO709:AR709"/>
    <mergeCell ref="D712:F712"/>
    <mergeCell ref="G712:L712"/>
    <mergeCell ref="M712:N712"/>
    <mergeCell ref="AJ712:AM712"/>
    <mergeCell ref="AO712:AR712"/>
    <mergeCell ref="AU712:AZ712"/>
    <mergeCell ref="D713:F713"/>
    <mergeCell ref="G713:L713"/>
    <mergeCell ref="M713:N713"/>
    <mergeCell ref="AJ713:AM713"/>
    <mergeCell ref="AO713:AR713"/>
    <mergeCell ref="AU713:AW713"/>
    <mergeCell ref="AX713:AZ713"/>
    <mergeCell ref="AU714:AW714"/>
    <mergeCell ref="AX714:AZ714"/>
    <mergeCell ref="E715:H715"/>
    <mergeCell ref="I715:L715"/>
    <mergeCell ref="M715:P715"/>
    <mergeCell ref="Q715:T715"/>
    <mergeCell ref="U715:X715"/>
    <mergeCell ref="Y715:AB715"/>
    <mergeCell ref="AC715:AF715"/>
    <mergeCell ref="AG715:AJ715"/>
    <mergeCell ref="AK715:AN715"/>
    <mergeCell ref="AO715:AR715"/>
    <mergeCell ref="B716:D716"/>
    <mergeCell ref="E716:H716"/>
    <mergeCell ref="I716:L716"/>
    <mergeCell ref="M716:P716"/>
    <mergeCell ref="Q716:T716"/>
    <mergeCell ref="U716:X716"/>
    <mergeCell ref="Y716:AB716"/>
    <mergeCell ref="AC716:AF716"/>
    <mergeCell ref="AG716:AJ716"/>
    <mergeCell ref="AK716:AN716"/>
    <mergeCell ref="AO716:AR716"/>
    <mergeCell ref="E717:H717"/>
    <mergeCell ref="I717:L717"/>
    <mergeCell ref="M717:P717"/>
    <mergeCell ref="Q717:T717"/>
    <mergeCell ref="U717:X717"/>
    <mergeCell ref="Y717:AB717"/>
    <mergeCell ref="AC717:AF717"/>
    <mergeCell ref="AG717:AJ717"/>
    <mergeCell ref="AK717:AN717"/>
    <mergeCell ref="AO717:AR717"/>
    <mergeCell ref="D720:F720"/>
    <mergeCell ref="G720:L720"/>
    <mergeCell ref="M720:N720"/>
    <mergeCell ref="AJ720:AM720"/>
    <mergeCell ref="AO720:AR720"/>
    <mergeCell ref="AU720:AZ720"/>
    <mergeCell ref="D721:F721"/>
    <mergeCell ref="G721:L721"/>
    <mergeCell ref="M721:N721"/>
    <mergeCell ref="AJ721:AM721"/>
    <mergeCell ref="AO721:AR721"/>
    <mergeCell ref="AU721:AW721"/>
    <mergeCell ref="AX721:AZ721"/>
    <mergeCell ref="AU722:AW722"/>
    <mergeCell ref="AX722:AZ722"/>
    <mergeCell ref="E723:H723"/>
    <mergeCell ref="I723:L723"/>
    <mergeCell ref="M723:P723"/>
    <mergeCell ref="Q723:T723"/>
    <mergeCell ref="U723:X723"/>
    <mergeCell ref="Y723:AB723"/>
    <mergeCell ref="AC723:AF723"/>
    <mergeCell ref="AG723:AJ723"/>
    <mergeCell ref="AK723:AN723"/>
    <mergeCell ref="AO723:AR723"/>
    <mergeCell ref="B724:D724"/>
    <mergeCell ref="E724:H724"/>
    <mergeCell ref="I724:L724"/>
    <mergeCell ref="M724:P724"/>
    <mergeCell ref="Q724:T724"/>
    <mergeCell ref="U724:X724"/>
    <mergeCell ref="Y724:AB724"/>
    <mergeCell ref="AC724:AF724"/>
    <mergeCell ref="AG724:AJ724"/>
    <mergeCell ref="AK724:AN724"/>
    <mergeCell ref="AO724:AR724"/>
    <mergeCell ref="E725:H725"/>
    <mergeCell ref="I725:L725"/>
    <mergeCell ref="M725:P725"/>
    <mergeCell ref="Q725:T725"/>
    <mergeCell ref="U725:X725"/>
    <mergeCell ref="Y725:AB725"/>
    <mergeCell ref="AC725:AF725"/>
    <mergeCell ref="AG725:AJ725"/>
    <mergeCell ref="AK725:AN725"/>
    <mergeCell ref="AO725:AR725"/>
    <mergeCell ref="D728:F728"/>
    <mergeCell ref="G728:L728"/>
    <mergeCell ref="M728:N728"/>
    <mergeCell ref="AJ728:AM728"/>
    <mergeCell ref="AO728:AR728"/>
    <mergeCell ref="AU728:AZ728"/>
    <mergeCell ref="D729:F729"/>
    <mergeCell ref="G729:L729"/>
    <mergeCell ref="M729:N729"/>
    <mergeCell ref="AJ729:AM729"/>
    <mergeCell ref="AO729:AR729"/>
    <mergeCell ref="AU729:AW729"/>
    <mergeCell ref="AX729:AZ729"/>
    <mergeCell ref="AU730:AW730"/>
    <mergeCell ref="AX730:AZ730"/>
    <mergeCell ref="E731:H731"/>
    <mergeCell ref="I731:L731"/>
    <mergeCell ref="M731:P731"/>
    <mergeCell ref="Q731:T731"/>
    <mergeCell ref="U731:X731"/>
    <mergeCell ref="Y731:AB731"/>
    <mergeCell ref="AC731:AF731"/>
    <mergeCell ref="AG731:AJ731"/>
    <mergeCell ref="AK731:AN731"/>
    <mergeCell ref="AO731:AR731"/>
    <mergeCell ref="B732:D732"/>
    <mergeCell ref="E732:H732"/>
    <mergeCell ref="I732:L732"/>
    <mergeCell ref="M732:P732"/>
    <mergeCell ref="Q732:T732"/>
    <mergeCell ref="U732:X732"/>
    <mergeCell ref="Y732:AB732"/>
    <mergeCell ref="AC732:AF732"/>
    <mergeCell ref="AG732:AJ732"/>
    <mergeCell ref="AK732:AN732"/>
    <mergeCell ref="AO732:AR732"/>
    <mergeCell ref="E733:H733"/>
    <mergeCell ref="I733:L733"/>
    <mergeCell ref="M733:P733"/>
    <mergeCell ref="Q733:T733"/>
    <mergeCell ref="U733:X733"/>
    <mergeCell ref="Y733:AB733"/>
    <mergeCell ref="AC733:AF733"/>
    <mergeCell ref="AG733:AJ733"/>
    <mergeCell ref="AK733:AN733"/>
    <mergeCell ref="AO733:AR733"/>
    <mergeCell ref="D736:F736"/>
    <mergeCell ref="G736:L736"/>
    <mergeCell ref="M736:N736"/>
    <mergeCell ref="AJ736:AM736"/>
    <mergeCell ref="AO736:AR736"/>
    <mergeCell ref="AU736:AZ736"/>
    <mergeCell ref="D737:F737"/>
    <mergeCell ref="G737:L737"/>
    <mergeCell ref="M737:N737"/>
    <mergeCell ref="AJ737:AM737"/>
    <mergeCell ref="AO737:AR737"/>
    <mergeCell ref="AU737:AW737"/>
    <mergeCell ref="AX737:AZ737"/>
    <mergeCell ref="AU738:AW738"/>
    <mergeCell ref="AX738:AZ738"/>
    <mergeCell ref="E739:H739"/>
    <mergeCell ref="I739:L739"/>
    <mergeCell ref="M739:P739"/>
    <mergeCell ref="Q739:T739"/>
    <mergeCell ref="U739:X739"/>
    <mergeCell ref="Y739:AB739"/>
    <mergeCell ref="AC739:AF739"/>
    <mergeCell ref="AG739:AJ739"/>
    <mergeCell ref="AK739:AN739"/>
    <mergeCell ref="AO739:AR739"/>
    <mergeCell ref="B740:D740"/>
    <mergeCell ref="E740:H740"/>
    <mergeCell ref="I740:L740"/>
    <mergeCell ref="M740:P740"/>
    <mergeCell ref="Q740:T740"/>
    <mergeCell ref="U740:X740"/>
    <mergeCell ref="Y740:AB740"/>
    <mergeCell ref="AC740:AF740"/>
    <mergeCell ref="AG740:AJ740"/>
    <mergeCell ref="AK740:AN740"/>
    <mergeCell ref="AO740:AR740"/>
    <mergeCell ref="E741:H741"/>
    <mergeCell ref="I741:L741"/>
    <mergeCell ref="M741:P741"/>
    <mergeCell ref="Q741:T741"/>
    <mergeCell ref="U741:X741"/>
    <mergeCell ref="Y741:AB741"/>
    <mergeCell ref="AC741:AF741"/>
    <mergeCell ref="AG741:AJ741"/>
    <mergeCell ref="AK741:AN741"/>
    <mergeCell ref="AO741:AR7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2026-02-18T00:22:56Z</dcterms:modified>
</cp:coreProperties>
</file>